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a3318ae3561f5/Documents/"/>
    </mc:Choice>
  </mc:AlternateContent>
  <xr:revisionPtr revIDLastSave="705" documentId="8_{22D18A2E-2FAE-49CB-A3F6-85AFCD16014C}" xr6:coauthVersionLast="47" xr6:coauthVersionMax="47" xr10:uidLastSave="{B05D053A-ED68-4226-9C0A-F3C5F5735D75}"/>
  <bookViews>
    <workbookView xWindow="11424" yWindow="0" windowWidth="11712" windowHeight="12336" firstSheet="7" activeTab="7" xr2:uid="{123DAC89-83AC-47C1-AE6A-3D1010C49B01}"/>
  </bookViews>
  <sheets>
    <sheet name="Products" sheetId="1" r:id="rId1"/>
    <sheet name="Customers" sheetId="2" r:id="rId2"/>
    <sheet name="FirstNames" sheetId="6" r:id="rId3"/>
    <sheet name="LastNames" sheetId="7" r:id="rId4"/>
    <sheet name="Cities" sheetId="8" r:id="rId5"/>
    <sheet name="Supliers" sheetId="3" r:id="rId6"/>
    <sheet name="Warehouses" sheetId="4" r:id="rId7"/>
    <sheet name="Orders" sheetId="5" r:id="rId8"/>
    <sheet name="PaymentMethods" sheetId="9" r:id="rId9"/>
  </sheets>
  <definedNames>
    <definedName name="PaymentsMethods">PaymentMethods[Payment Method]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 a="1"/>
  <c r="J2" i="5" s="1"/>
  <c r="J3" i="5" a="1"/>
  <c r="J3" i="5" s="1"/>
  <c r="J4" i="5" a="1"/>
  <c r="J4" i="5" s="1"/>
  <c r="J5" i="5" a="1"/>
  <c r="J5" i="5" s="1"/>
  <c r="J6" i="5" a="1"/>
  <c r="J6" i="5" s="1"/>
  <c r="J7" i="5" a="1"/>
  <c r="J7" i="5" s="1"/>
  <c r="J8" i="5" a="1"/>
  <c r="J8" i="5" s="1"/>
  <c r="J9" i="5" a="1"/>
  <c r="J9" i="5" s="1"/>
  <c r="J10" i="5" a="1"/>
  <c r="J10" i="5" s="1"/>
  <c r="J11" i="5" a="1"/>
  <c r="J11" i="5" s="1"/>
  <c r="J12" i="5" a="1"/>
  <c r="J12" i="5" s="1"/>
  <c r="J13" i="5" a="1"/>
  <c r="J13" i="5" s="1"/>
  <c r="J14" i="5" a="1"/>
  <c r="J14" i="5" s="1"/>
  <c r="J15" i="5" a="1"/>
  <c r="J15" i="5"/>
  <c r="J16" i="5" a="1"/>
  <c r="J16" i="5" s="1"/>
  <c r="J17" i="5" a="1"/>
  <c r="J17" i="5" s="1"/>
  <c r="J18" i="5" a="1"/>
  <c r="J18" i="5" s="1"/>
  <c r="J19" i="5" a="1"/>
  <c r="J19" i="5" s="1"/>
  <c r="J20" i="5" a="1"/>
  <c r="J20" i="5" s="1"/>
  <c r="J21" i="5" a="1"/>
  <c r="J21" i="5" s="1"/>
  <c r="J22" i="5" a="1"/>
  <c r="J22" i="5" s="1"/>
  <c r="J23" i="5" a="1"/>
  <c r="J23" i="5" s="1"/>
  <c r="J24" i="5" a="1"/>
  <c r="J24" i="5" s="1"/>
  <c r="J25" i="5" a="1"/>
  <c r="J25" i="5" s="1"/>
  <c r="J26" i="5" a="1"/>
  <c r="J26" i="5" s="1"/>
  <c r="J27" i="5" a="1"/>
  <c r="J27" i="5" s="1"/>
  <c r="J28" i="5" a="1"/>
  <c r="J28" i="5" s="1"/>
  <c r="J29" i="5" a="1"/>
  <c r="J29" i="5" s="1"/>
  <c r="J30" i="5" a="1"/>
  <c r="J30" i="5" s="1"/>
  <c r="J31" i="5" a="1"/>
  <c r="J31" i="5" s="1"/>
  <c r="J32" i="5" a="1"/>
  <c r="J32" i="5" s="1"/>
  <c r="J33" i="5" a="1"/>
  <c r="J33" i="5" s="1"/>
  <c r="J34" i="5" a="1"/>
  <c r="J34" i="5" s="1"/>
  <c r="J35" i="5" a="1"/>
  <c r="J35" i="5" s="1"/>
  <c r="J36" i="5" a="1"/>
  <c r="J36" i="5" s="1"/>
  <c r="J37" i="5" a="1"/>
  <c r="J37" i="5" s="1"/>
  <c r="J38" i="5" a="1"/>
  <c r="J38" i="5" s="1"/>
  <c r="J39" i="5" a="1"/>
  <c r="J39" i="5" s="1"/>
  <c r="J40" i="5" a="1"/>
  <c r="J40" i="5" s="1"/>
  <c r="J41" i="5" a="1"/>
  <c r="J41" i="5" s="1"/>
  <c r="J42" i="5" a="1"/>
  <c r="J42" i="5" s="1"/>
  <c r="J43" i="5" a="1"/>
  <c r="J43" i="5" s="1"/>
  <c r="J44" i="5" a="1"/>
  <c r="J44" i="5" s="1"/>
  <c r="J45" i="5" a="1"/>
  <c r="J45" i="5" s="1"/>
  <c r="J46" i="5" a="1"/>
  <c r="J46" i="5" s="1"/>
  <c r="J47" i="5" a="1"/>
  <c r="J47" i="5" s="1"/>
  <c r="J48" i="5" a="1"/>
  <c r="J48" i="5" s="1"/>
  <c r="J49" i="5" a="1"/>
  <c r="J49" i="5" s="1"/>
  <c r="J50" i="5" a="1"/>
  <c r="J50" i="5" s="1"/>
  <c r="J51" i="5" a="1"/>
  <c r="J51" i="5" s="1"/>
  <c r="J52" i="5" a="1"/>
  <c r="J52" i="5" s="1"/>
  <c r="J53" i="5" a="1"/>
  <c r="J53" i="5" s="1"/>
  <c r="J54" i="5" a="1"/>
  <c r="J54" i="5" s="1"/>
  <c r="J55" i="5" a="1"/>
  <c r="J55" i="5" s="1"/>
  <c r="J56" i="5" a="1"/>
  <c r="J56" i="5" s="1"/>
  <c r="J57" i="5" a="1"/>
  <c r="J57" i="5" s="1"/>
  <c r="J58" i="5" a="1"/>
  <c r="J58" i="5" s="1"/>
  <c r="J59" i="5" a="1"/>
  <c r="J59" i="5" s="1"/>
  <c r="J60" i="5" a="1"/>
  <c r="J60" i="5" s="1"/>
  <c r="J61" i="5" a="1"/>
  <c r="J61" i="5" s="1"/>
  <c r="J62" i="5" a="1"/>
  <c r="J62" i="5" s="1"/>
  <c r="J63" i="5" a="1"/>
  <c r="J63" i="5" s="1"/>
  <c r="J64" i="5" a="1"/>
  <c r="J64" i="5" s="1"/>
  <c r="J65" i="5" a="1"/>
  <c r="J65" i="5" s="1"/>
  <c r="J66" i="5" a="1"/>
  <c r="J66" i="5" s="1"/>
  <c r="J67" i="5" a="1"/>
  <c r="J67" i="5" s="1"/>
  <c r="J68" i="5" a="1"/>
  <c r="J68" i="5" s="1"/>
  <c r="J69" i="5" a="1"/>
  <c r="J69" i="5" s="1"/>
  <c r="J70" i="5" a="1"/>
  <c r="J70" i="5" s="1"/>
  <c r="J71" i="5" a="1"/>
  <c r="J71" i="5" s="1"/>
  <c r="J72" i="5" a="1"/>
  <c r="J72" i="5" s="1"/>
  <c r="J73" i="5" a="1"/>
  <c r="J73" i="5" s="1"/>
  <c r="J74" i="5" a="1"/>
  <c r="J74" i="5" s="1"/>
  <c r="J75" i="5" a="1"/>
  <c r="J75" i="5" s="1"/>
  <c r="J76" i="5" a="1"/>
  <c r="J76" i="5" s="1"/>
  <c r="J77" i="5" a="1"/>
  <c r="J77" i="5" s="1"/>
  <c r="J78" i="5" a="1"/>
  <c r="J78" i="5" s="1"/>
  <c r="J79" i="5" a="1"/>
  <c r="J79" i="5" s="1"/>
  <c r="J80" i="5" a="1"/>
  <c r="J80" i="5" s="1"/>
  <c r="J81" i="5" a="1"/>
  <c r="J81" i="5" s="1"/>
  <c r="J82" i="5" a="1"/>
  <c r="J82" i="5" s="1"/>
  <c r="J83" i="5" a="1"/>
  <c r="J83" i="5" s="1"/>
  <c r="J84" i="5" a="1"/>
  <c r="J84" i="5" s="1"/>
  <c r="J85" i="5" a="1"/>
  <c r="J85" i="5" s="1"/>
  <c r="J86" i="5" a="1"/>
  <c r="J86" i="5" s="1"/>
  <c r="J87" i="5" a="1"/>
  <c r="J87" i="5" s="1"/>
  <c r="J88" i="5" a="1"/>
  <c r="J88" i="5" s="1"/>
  <c r="J89" i="5" a="1"/>
  <c r="J89" i="5" s="1"/>
  <c r="J90" i="5" a="1"/>
  <c r="J90" i="5" s="1"/>
  <c r="J91" i="5" a="1"/>
  <c r="J91" i="5" s="1"/>
  <c r="J92" i="5" a="1"/>
  <c r="J92" i="5" s="1"/>
  <c r="J93" i="5" a="1"/>
  <c r="J93" i="5" s="1"/>
  <c r="J94" i="5" a="1"/>
  <c r="J94" i="5" s="1"/>
  <c r="J95" i="5" a="1"/>
  <c r="J95" i="5" s="1"/>
  <c r="J96" i="5" a="1"/>
  <c r="J96" i="5" s="1"/>
  <c r="J97" i="5" a="1"/>
  <c r="J97" i="5" s="1"/>
  <c r="J98" i="5" a="1"/>
  <c r="J98" i="5" s="1"/>
  <c r="J99" i="5" a="1"/>
  <c r="J99" i="5" s="1"/>
  <c r="J100" i="5" a="1"/>
  <c r="J100" i="5" s="1"/>
  <c r="J101" i="5" a="1"/>
  <c r="J101" i="5" s="1"/>
  <c r="J102" i="5" a="1"/>
  <c r="J102" i="5" s="1"/>
  <c r="J103" i="5" a="1"/>
  <c r="J103" i="5" s="1"/>
  <c r="J104" i="5" a="1"/>
  <c r="J104" i="5" s="1"/>
  <c r="J105" i="5" a="1"/>
  <c r="J105" i="5" s="1"/>
  <c r="J106" i="5" a="1"/>
  <c r="J106" i="5" s="1"/>
  <c r="J107" i="5" a="1"/>
  <c r="J107" i="5" s="1"/>
  <c r="J108" i="5" a="1"/>
  <c r="J108" i="5" s="1"/>
  <c r="J109" i="5" a="1"/>
  <c r="J109" i="5" s="1"/>
  <c r="J110" i="5" a="1"/>
  <c r="J110" i="5" s="1"/>
  <c r="J111" i="5" a="1"/>
  <c r="J111" i="5" s="1"/>
  <c r="J112" i="5" a="1"/>
  <c r="J112" i="5" s="1"/>
  <c r="J113" i="5" a="1"/>
  <c r="J113" i="5" s="1"/>
  <c r="J114" i="5" a="1"/>
  <c r="J114" i="5" s="1"/>
  <c r="J115" i="5" a="1"/>
  <c r="J115" i="5" s="1"/>
  <c r="J116" i="5" a="1"/>
  <c r="J116" i="5" s="1"/>
  <c r="J117" i="5" a="1"/>
  <c r="J117" i="5" s="1"/>
  <c r="J118" i="5" a="1"/>
  <c r="J118" i="5" s="1"/>
  <c r="J119" i="5" a="1"/>
  <c r="J119" i="5" s="1"/>
  <c r="J120" i="5" a="1"/>
  <c r="J120" i="5" s="1"/>
  <c r="J121" i="5" a="1"/>
  <c r="J121" i="5" s="1"/>
  <c r="J122" i="5" a="1"/>
  <c r="J122" i="5" s="1"/>
  <c r="J123" i="5" a="1"/>
  <c r="J123" i="5" s="1"/>
  <c r="J124" i="5" a="1"/>
  <c r="J124" i="5" s="1"/>
  <c r="J125" i="5" a="1"/>
  <c r="J125" i="5" s="1"/>
  <c r="J126" i="5" a="1"/>
  <c r="J126" i="5" s="1"/>
  <c r="J127" i="5" a="1"/>
  <c r="J127" i="5" s="1"/>
  <c r="J128" i="5" a="1"/>
  <c r="J128" i="5" s="1"/>
  <c r="J129" i="5" a="1"/>
  <c r="J129" i="5" s="1"/>
  <c r="J130" i="5" a="1"/>
  <c r="J130" i="5" s="1"/>
  <c r="J131" i="5" a="1"/>
  <c r="J131" i="5" s="1"/>
  <c r="J132" i="5" a="1"/>
  <c r="J132" i="5" s="1"/>
  <c r="J133" i="5" a="1"/>
  <c r="J133" i="5" s="1"/>
  <c r="J134" i="5" a="1"/>
  <c r="J134" i="5" s="1"/>
  <c r="J135" i="5" a="1"/>
  <c r="J135" i="5" s="1"/>
  <c r="J136" i="5" a="1"/>
  <c r="J136" i="5" s="1"/>
  <c r="J137" i="5" a="1"/>
  <c r="J137" i="5" s="1"/>
  <c r="J138" i="5" a="1"/>
  <c r="J138" i="5" s="1"/>
  <c r="J139" i="5" a="1"/>
  <c r="J139" i="5" s="1"/>
  <c r="J140" i="5" a="1"/>
  <c r="J140" i="5" s="1"/>
  <c r="J141" i="5" a="1"/>
  <c r="J141" i="5" s="1"/>
  <c r="J142" i="5" a="1"/>
  <c r="J142" i="5" s="1"/>
  <c r="J143" i="5" a="1"/>
  <c r="J143" i="5" s="1"/>
  <c r="J144" i="5" a="1"/>
  <c r="J144" i="5" s="1"/>
  <c r="J145" i="5" a="1"/>
  <c r="J145" i="5" s="1"/>
  <c r="J146" i="5" a="1"/>
  <c r="J146" i="5" s="1"/>
  <c r="J147" i="5" a="1"/>
  <c r="J147" i="5" s="1"/>
  <c r="J148" i="5" a="1"/>
  <c r="J148" i="5" s="1"/>
  <c r="J149" i="5" a="1"/>
  <c r="J149" i="5" s="1"/>
  <c r="J150" i="5" a="1"/>
  <c r="J150" i="5" s="1"/>
  <c r="J151" i="5" a="1"/>
  <c r="J151" i="5" s="1"/>
  <c r="J152" i="5" a="1"/>
  <c r="J152" i="5" s="1"/>
  <c r="J153" i="5" a="1"/>
  <c r="J153" i="5" s="1"/>
  <c r="J154" i="5" a="1"/>
  <c r="J154" i="5" s="1"/>
  <c r="J155" i="5" a="1"/>
  <c r="J155" i="5" s="1"/>
  <c r="J156" i="5" a="1"/>
  <c r="J156" i="5" s="1"/>
  <c r="J157" i="5" a="1"/>
  <c r="J157" i="5" s="1"/>
  <c r="J158" i="5" a="1"/>
  <c r="J158" i="5" s="1"/>
  <c r="J159" i="5" a="1"/>
  <c r="J159" i="5" s="1"/>
  <c r="J160" i="5" a="1"/>
  <c r="J160" i="5" s="1"/>
  <c r="J161" i="5" a="1"/>
  <c r="J161" i="5" s="1"/>
  <c r="J162" i="5" a="1"/>
  <c r="J162" i="5" s="1"/>
  <c r="J163" i="5" a="1"/>
  <c r="J163" i="5" s="1"/>
  <c r="J164" i="5" a="1"/>
  <c r="J164" i="5" s="1"/>
  <c r="J165" i="5" a="1"/>
  <c r="J165" i="5" s="1"/>
  <c r="J166" i="5" a="1"/>
  <c r="J166" i="5" s="1"/>
  <c r="J167" i="5" a="1"/>
  <c r="J167" i="5" s="1"/>
  <c r="J168" i="5" a="1"/>
  <c r="J168" i="5" s="1"/>
  <c r="J169" i="5" a="1"/>
  <c r="J169" i="5" s="1"/>
  <c r="J170" i="5" a="1"/>
  <c r="J170" i="5" s="1"/>
  <c r="J171" i="5" a="1"/>
  <c r="J171" i="5"/>
  <c r="J172" i="5" a="1"/>
  <c r="J172" i="5" s="1"/>
  <c r="J173" i="5" a="1"/>
  <c r="J173" i="5" s="1"/>
  <c r="J174" i="5" a="1"/>
  <c r="J174" i="5"/>
  <c r="J175" i="5" a="1"/>
  <c r="J175" i="5" s="1"/>
  <c r="J176" i="5" a="1"/>
  <c r="J176" i="5" s="1"/>
  <c r="J177" i="5" a="1"/>
  <c r="J177" i="5" s="1"/>
  <c r="J178" i="5" a="1"/>
  <c r="J178" i="5" s="1"/>
  <c r="J179" i="5" a="1"/>
  <c r="J179" i="5" s="1"/>
  <c r="J180" i="5" a="1"/>
  <c r="J180" i="5" s="1"/>
  <c r="J181" i="5" a="1"/>
  <c r="J181" i="5"/>
  <c r="J182" i="5" a="1"/>
  <c r="J182" i="5" s="1"/>
  <c r="J183" i="5" a="1"/>
  <c r="J183" i="5" s="1"/>
  <c r="J184" i="5" a="1"/>
  <c r="J184" i="5" s="1"/>
  <c r="J185" i="5" a="1"/>
  <c r="J185" i="5" s="1"/>
  <c r="J186" i="5" a="1"/>
  <c r="J186" i="5" s="1"/>
  <c r="J187" i="5" a="1"/>
  <c r="J187" i="5" s="1"/>
  <c r="J188" i="5" a="1"/>
  <c r="J188" i="5" s="1"/>
  <c r="J189" i="5" a="1"/>
  <c r="J189" i="5" s="1"/>
  <c r="J190" i="5" a="1"/>
  <c r="J190" i="5" s="1"/>
  <c r="J191" i="5" a="1"/>
  <c r="J191" i="5" s="1"/>
  <c r="J192" i="5" a="1"/>
  <c r="J192" i="5" s="1"/>
  <c r="J193" i="5" a="1"/>
  <c r="J193" i="5" s="1"/>
  <c r="J194" i="5" a="1"/>
  <c r="J194" i="5" s="1"/>
  <c r="J195" i="5" a="1"/>
  <c r="J195" i="5" s="1"/>
  <c r="J196" i="5" a="1"/>
  <c r="J196" i="5" s="1"/>
  <c r="J197" i="5" a="1"/>
  <c r="J197" i="5" s="1"/>
  <c r="J198" i="5" a="1"/>
  <c r="J198" i="5" s="1"/>
  <c r="J199" i="5" a="1"/>
  <c r="J199" i="5" s="1"/>
  <c r="J200" i="5" a="1"/>
  <c r="J200" i="5" s="1"/>
  <c r="J201" i="5" a="1"/>
  <c r="J201" i="5" s="1"/>
  <c r="J202" i="5" a="1"/>
  <c r="J202" i="5" s="1"/>
  <c r="J203" i="5" a="1"/>
  <c r="J203" i="5" s="1"/>
  <c r="J204" i="5" a="1"/>
  <c r="J204" i="5" s="1"/>
  <c r="J205" i="5" a="1"/>
  <c r="J205" i="5" s="1"/>
  <c r="J206" i="5" a="1"/>
  <c r="J206" i="5" s="1"/>
  <c r="J207" i="5" a="1"/>
  <c r="J207" i="5" s="1"/>
  <c r="J208" i="5" a="1"/>
  <c r="J208" i="5" s="1"/>
  <c r="J209" i="5" a="1"/>
  <c r="J209" i="5" s="1"/>
  <c r="J210" i="5" a="1"/>
  <c r="J210" i="5" s="1"/>
  <c r="J211" i="5" a="1"/>
  <c r="J211" i="5" s="1"/>
  <c r="J212" i="5" a="1"/>
  <c r="J212" i="5" s="1"/>
  <c r="J213" i="5" a="1"/>
  <c r="J213" i="5" s="1"/>
  <c r="J214" i="5" a="1"/>
  <c r="J214" i="5" s="1"/>
  <c r="J215" i="5" a="1"/>
  <c r="J215" i="5" s="1"/>
  <c r="J216" i="5" a="1"/>
  <c r="J216" i="5" s="1"/>
  <c r="J217" i="5" a="1"/>
  <c r="J217" i="5" s="1"/>
  <c r="J218" i="5" a="1"/>
  <c r="J218" i="5" s="1"/>
  <c r="J219" i="5" a="1"/>
  <c r="J219" i="5" s="1"/>
  <c r="J220" i="5" a="1"/>
  <c r="J220" i="5" s="1"/>
  <c r="J221" i="5" a="1"/>
  <c r="J221" i="5"/>
  <c r="J222" i="5" a="1"/>
  <c r="J222" i="5" s="1"/>
  <c r="J223" i="5" a="1"/>
  <c r="J223" i="5" s="1"/>
  <c r="J224" i="5" a="1"/>
  <c r="J224" i="5" s="1"/>
  <c r="J225" i="5" a="1"/>
  <c r="J225" i="5" s="1"/>
  <c r="J226" i="5" a="1"/>
  <c r="J226" i="5" s="1"/>
  <c r="J227" i="5" a="1"/>
  <c r="J227" i="5" s="1"/>
  <c r="J228" i="5" a="1"/>
  <c r="J228" i="5" s="1"/>
  <c r="J229" i="5" a="1"/>
  <c r="J229" i="5" s="1"/>
  <c r="J230" i="5" a="1"/>
  <c r="J230" i="5" s="1"/>
  <c r="J231" i="5" a="1"/>
  <c r="J231" i="5" s="1"/>
  <c r="J232" i="5" a="1"/>
  <c r="J232" i="5" s="1"/>
  <c r="J233" i="5" a="1"/>
  <c r="J233" i="5" s="1"/>
  <c r="J234" i="5" a="1"/>
  <c r="J234" i="5" s="1"/>
  <c r="J235" i="5" a="1"/>
  <c r="J235" i="5" s="1"/>
  <c r="J236" i="5" a="1"/>
  <c r="J236" i="5" s="1"/>
  <c r="J237" i="5" a="1"/>
  <c r="J237" i="5" s="1"/>
  <c r="J238" i="5" a="1"/>
  <c r="J238" i="5" s="1"/>
  <c r="J239" i="5" a="1"/>
  <c r="J239" i="5" s="1"/>
  <c r="J240" i="5" a="1"/>
  <c r="J240" i="5" s="1"/>
  <c r="J241" i="5" a="1"/>
  <c r="J241" i="5" s="1"/>
  <c r="J242" i="5" a="1"/>
  <c r="J242" i="5" s="1"/>
  <c r="J243" i="5" a="1"/>
  <c r="J243" i="5" s="1"/>
  <c r="J244" i="5" a="1"/>
  <c r="J244" i="5" s="1"/>
  <c r="J245" i="5" a="1"/>
  <c r="J245" i="5" s="1"/>
  <c r="J246" i="5" a="1"/>
  <c r="J246" i="5" s="1"/>
  <c r="J247" i="5" a="1"/>
  <c r="J247" i="5" s="1"/>
  <c r="J248" i="5" a="1"/>
  <c r="J248" i="5" s="1"/>
  <c r="J249" i="5" a="1"/>
  <c r="J249" i="5" s="1"/>
  <c r="J250" i="5" a="1"/>
  <c r="J250" i="5" s="1"/>
  <c r="J251" i="5" a="1"/>
  <c r="J251" i="5" s="1"/>
  <c r="J252" i="5" a="1"/>
  <c r="J252" i="5" s="1"/>
  <c r="J253" i="5" a="1"/>
  <c r="J253" i="5" s="1"/>
  <c r="J254" i="5" a="1"/>
  <c r="J254" i="5" s="1"/>
  <c r="J255" i="5" a="1"/>
  <c r="J255" i="5" s="1"/>
  <c r="J256" i="5" a="1"/>
  <c r="J256" i="5" s="1"/>
  <c r="J257" i="5" a="1"/>
  <c r="J257" i="5" s="1"/>
  <c r="J258" i="5" a="1"/>
  <c r="J258" i="5" s="1"/>
  <c r="J259" i="5" a="1"/>
  <c r="J259" i="5" s="1"/>
  <c r="J260" i="5" a="1"/>
  <c r="J260" i="5" s="1"/>
  <c r="J261" i="5" a="1"/>
  <c r="J261" i="5" s="1"/>
  <c r="J262" i="5" a="1"/>
  <c r="J262" i="5" s="1"/>
  <c r="J263" i="5" a="1"/>
  <c r="J263" i="5" s="1"/>
  <c r="J264" i="5" a="1"/>
  <c r="J264" i="5" s="1"/>
  <c r="J265" i="5" a="1"/>
  <c r="J265" i="5" s="1"/>
  <c r="J266" i="5" a="1"/>
  <c r="J266" i="5" s="1"/>
  <c r="J267" i="5" a="1"/>
  <c r="J267" i="5" s="1"/>
  <c r="J268" i="5" a="1"/>
  <c r="J268" i="5" s="1"/>
  <c r="J269" i="5" a="1"/>
  <c r="J269" i="5" s="1"/>
  <c r="J270" i="5" a="1"/>
  <c r="J270" i="5" s="1"/>
  <c r="J271" i="5" a="1"/>
  <c r="J271" i="5" s="1"/>
  <c r="J272" i="5" a="1"/>
  <c r="J272" i="5" s="1"/>
  <c r="J273" i="5" a="1"/>
  <c r="J273" i="5" s="1"/>
  <c r="J274" i="5" a="1"/>
  <c r="J274" i="5" s="1"/>
  <c r="J275" i="5" a="1"/>
  <c r="J275" i="5" s="1"/>
  <c r="J276" i="5" a="1"/>
  <c r="J276" i="5" s="1"/>
  <c r="J277" i="5" a="1"/>
  <c r="J277" i="5" s="1"/>
  <c r="J278" i="5" a="1"/>
  <c r="J278" i="5" s="1"/>
  <c r="J279" i="5" a="1"/>
  <c r="J279" i="5" s="1"/>
  <c r="J280" i="5" a="1"/>
  <c r="J280" i="5" s="1"/>
  <c r="J281" i="5" a="1"/>
  <c r="J281" i="5"/>
  <c r="J282" i="5" a="1"/>
  <c r="J282" i="5" s="1"/>
  <c r="J283" i="5" a="1"/>
  <c r="J283" i="5" s="1"/>
  <c r="J284" i="5" a="1"/>
  <c r="J284" i="5" s="1"/>
  <c r="J285" i="5" a="1"/>
  <c r="J285" i="5" s="1"/>
  <c r="J286" i="5" a="1"/>
  <c r="J286" i="5" s="1"/>
  <c r="J287" i="5" a="1"/>
  <c r="J287" i="5" s="1"/>
  <c r="J288" i="5" a="1"/>
  <c r="J288" i="5" s="1"/>
  <c r="J289" i="5" a="1"/>
  <c r="J289" i="5" s="1"/>
  <c r="J290" i="5" a="1"/>
  <c r="J290" i="5" s="1"/>
  <c r="J291" i="5" a="1"/>
  <c r="J291" i="5" s="1"/>
  <c r="J292" i="5" a="1"/>
  <c r="J292" i="5" s="1"/>
  <c r="J293" i="5" a="1"/>
  <c r="J293" i="5" s="1"/>
  <c r="J294" i="5" a="1"/>
  <c r="J294" i="5" s="1"/>
  <c r="J295" i="5" a="1"/>
  <c r="J295" i="5" s="1"/>
  <c r="J296" i="5" a="1"/>
  <c r="J296" i="5" s="1"/>
  <c r="J297" i="5" a="1"/>
  <c r="J297" i="5"/>
  <c r="J298" i="5" a="1"/>
  <c r="J298" i="5" s="1"/>
  <c r="J299" i="5" a="1"/>
  <c r="J299" i="5" s="1"/>
  <c r="J300" i="5" a="1"/>
  <c r="J300" i="5" s="1"/>
  <c r="J301" i="5" a="1"/>
  <c r="J301" i="5" s="1"/>
  <c r="J302" i="5" a="1"/>
  <c r="J302" i="5" s="1"/>
  <c r="J303" i="5" a="1"/>
  <c r="J303" i="5" s="1"/>
  <c r="J304" i="5" a="1"/>
  <c r="J304" i="5" s="1"/>
  <c r="J305" i="5" a="1"/>
  <c r="J305" i="5" s="1"/>
  <c r="J306" i="5" a="1"/>
  <c r="J306" i="5" s="1"/>
  <c r="J307" i="5" a="1"/>
  <c r="J307" i="5" s="1"/>
  <c r="J308" i="5" a="1"/>
  <c r="J308" i="5" s="1"/>
  <c r="J309" i="5" a="1"/>
  <c r="J309" i="5" s="1"/>
  <c r="J310" i="5" a="1"/>
  <c r="J310" i="5" s="1"/>
  <c r="J311" i="5" a="1"/>
  <c r="J311" i="5" s="1"/>
  <c r="J312" i="5" a="1"/>
  <c r="J312" i="5" s="1"/>
  <c r="J313" i="5" a="1"/>
  <c r="J313" i="5" s="1"/>
  <c r="J314" i="5" a="1"/>
  <c r="J314" i="5" s="1"/>
  <c r="J315" i="5" a="1"/>
  <c r="J315" i="5" s="1"/>
  <c r="J316" i="5" a="1"/>
  <c r="J316" i="5" s="1"/>
  <c r="J317" i="5" a="1"/>
  <c r="J317" i="5" s="1"/>
  <c r="J318" i="5" a="1"/>
  <c r="J318" i="5" s="1"/>
  <c r="J319" i="5" a="1"/>
  <c r="J319" i="5" s="1"/>
  <c r="J320" i="5" a="1"/>
  <c r="J320" i="5" s="1"/>
  <c r="J321" i="5" a="1"/>
  <c r="J321" i="5" s="1"/>
  <c r="J322" i="5" a="1"/>
  <c r="J322" i="5" s="1"/>
  <c r="J323" i="5" a="1"/>
  <c r="J323" i="5" s="1"/>
  <c r="J324" i="5" a="1"/>
  <c r="J324" i="5" s="1"/>
  <c r="J325" i="5" a="1"/>
  <c r="J325" i="5" s="1"/>
  <c r="J326" i="5" a="1"/>
  <c r="J326" i="5" s="1"/>
  <c r="J327" i="5" a="1"/>
  <c r="J327" i="5" s="1"/>
  <c r="J328" i="5" a="1"/>
  <c r="J328" i="5" s="1"/>
  <c r="J329" i="5" a="1"/>
  <c r="J329" i="5" s="1"/>
  <c r="J330" i="5" a="1"/>
  <c r="J330" i="5" s="1"/>
  <c r="J331" i="5" a="1"/>
  <c r="J331" i="5" s="1"/>
  <c r="J332" i="5" a="1"/>
  <c r="J332" i="5" s="1"/>
  <c r="J333" i="5" a="1"/>
  <c r="J333" i="5" s="1"/>
  <c r="J334" i="5" a="1"/>
  <c r="J334" i="5" s="1"/>
  <c r="J335" i="5" a="1"/>
  <c r="J335" i="5" s="1"/>
  <c r="J336" i="5" a="1"/>
  <c r="J336" i="5" s="1"/>
  <c r="J337" i="5" a="1"/>
  <c r="J337" i="5" s="1"/>
  <c r="J338" i="5" a="1"/>
  <c r="J338" i="5" s="1"/>
  <c r="J339" i="5" a="1"/>
  <c r="J339" i="5" s="1"/>
  <c r="J340" i="5" a="1"/>
  <c r="J340" i="5" s="1"/>
  <c r="J341" i="5" a="1"/>
  <c r="J341" i="5" s="1"/>
  <c r="J342" i="5" a="1"/>
  <c r="J342" i="5" s="1"/>
  <c r="J343" i="5" a="1"/>
  <c r="J343" i="5" s="1"/>
  <c r="J344" i="5" a="1"/>
  <c r="J344" i="5" s="1"/>
  <c r="J345" i="5" a="1"/>
  <c r="J345" i="5" s="1"/>
  <c r="J346" i="5" a="1"/>
  <c r="J346" i="5" s="1"/>
  <c r="J347" i="5" a="1"/>
  <c r="J347" i="5" s="1"/>
  <c r="J348" i="5" a="1"/>
  <c r="J348" i="5" s="1"/>
  <c r="J349" i="5" a="1"/>
  <c r="J349" i="5" s="1"/>
  <c r="J350" i="5" a="1"/>
  <c r="J350" i="5" s="1"/>
  <c r="J351" i="5" a="1"/>
  <c r="J351" i="5" s="1"/>
  <c r="J352" i="5" a="1"/>
  <c r="J352" i="5" s="1"/>
  <c r="J353" i="5" a="1"/>
  <c r="J353" i="5" s="1"/>
  <c r="J354" i="5" a="1"/>
  <c r="J354" i="5" s="1"/>
  <c r="J355" i="5" a="1"/>
  <c r="J355" i="5" s="1"/>
  <c r="J356" i="5" a="1"/>
  <c r="J356" i="5" s="1"/>
  <c r="J357" i="5" a="1"/>
  <c r="J357" i="5" s="1"/>
  <c r="J358" i="5" a="1"/>
  <c r="J358" i="5" s="1"/>
  <c r="J359" i="5" a="1"/>
  <c r="J359" i="5" s="1"/>
  <c r="J360" i="5" a="1"/>
  <c r="J360" i="5" s="1"/>
  <c r="J361" i="5" a="1"/>
  <c r="J361" i="5" s="1"/>
  <c r="J362" i="5" a="1"/>
  <c r="J362" i="5" s="1"/>
  <c r="J363" i="5" a="1"/>
  <c r="J363" i="5" s="1"/>
  <c r="J364" i="5" a="1"/>
  <c r="J364" i="5" s="1"/>
  <c r="J365" i="5" a="1"/>
  <c r="J365" i="5"/>
  <c r="J366" i="5" a="1"/>
  <c r="J366" i="5"/>
  <c r="J367" i="5" a="1"/>
  <c r="J367" i="5" s="1"/>
  <c r="J368" i="5" a="1"/>
  <c r="J368" i="5" s="1"/>
  <c r="J369" i="5" a="1"/>
  <c r="J369" i="5" s="1"/>
  <c r="J370" i="5" a="1"/>
  <c r="J370" i="5" s="1"/>
  <c r="J371" i="5" a="1"/>
  <c r="J371" i="5" s="1"/>
  <c r="J372" i="5" a="1"/>
  <c r="J372" i="5" s="1"/>
  <c r="J373" i="5" a="1"/>
  <c r="J373" i="5" s="1"/>
  <c r="J374" i="5" a="1"/>
  <c r="J374" i="5" s="1"/>
  <c r="J375" i="5" a="1"/>
  <c r="J375" i="5" s="1"/>
  <c r="J376" i="5" a="1"/>
  <c r="J376" i="5" s="1"/>
  <c r="J377" i="5" a="1"/>
  <c r="J377" i="5" s="1"/>
  <c r="J378" i="5" a="1"/>
  <c r="J378" i="5" s="1"/>
  <c r="J379" i="5" a="1"/>
  <c r="J379" i="5" s="1"/>
  <c r="J380" i="5" a="1"/>
  <c r="J380" i="5" s="1"/>
  <c r="J381" i="5" a="1"/>
  <c r="J381" i="5" s="1"/>
  <c r="J382" i="5" a="1"/>
  <c r="J382" i="5" s="1"/>
  <c r="J383" i="5" a="1"/>
  <c r="J383" i="5" s="1"/>
  <c r="J384" i="5" a="1"/>
  <c r="J384" i="5" s="1"/>
  <c r="J385" i="5" a="1"/>
  <c r="J385" i="5" s="1"/>
  <c r="J386" i="5" a="1"/>
  <c r="J386" i="5" s="1"/>
  <c r="J387" i="5" a="1"/>
  <c r="J387" i="5" s="1"/>
  <c r="J388" i="5" a="1"/>
  <c r="J388" i="5" s="1"/>
  <c r="J389" i="5" a="1"/>
  <c r="J389" i="5" s="1"/>
  <c r="J390" i="5" a="1"/>
  <c r="J390" i="5" s="1"/>
  <c r="J391" i="5" a="1"/>
  <c r="J391" i="5" s="1"/>
  <c r="J392" i="5" a="1"/>
  <c r="J392" i="5" s="1"/>
  <c r="J393" i="5" a="1"/>
  <c r="J393" i="5" s="1"/>
  <c r="J394" i="5" a="1"/>
  <c r="J394" i="5" s="1"/>
  <c r="J395" i="5" a="1"/>
  <c r="J395" i="5" s="1"/>
  <c r="J396" i="5" a="1"/>
  <c r="J396" i="5" s="1"/>
  <c r="J397" i="5" a="1"/>
  <c r="J397" i="5" s="1"/>
  <c r="J398" i="5" a="1"/>
  <c r="J398" i="5" s="1"/>
  <c r="J399" i="5" a="1"/>
  <c r="J399" i="5" s="1"/>
  <c r="J400" i="5" a="1"/>
  <c r="J400" i="5" s="1"/>
  <c r="J401" i="5" a="1"/>
  <c r="J401" i="5" s="1"/>
  <c r="J402" i="5" a="1"/>
  <c r="J402" i="5" s="1"/>
  <c r="J403" i="5" a="1"/>
  <c r="J403" i="5" s="1"/>
  <c r="J404" i="5" a="1"/>
  <c r="J404" i="5" s="1"/>
  <c r="J405" i="5" a="1"/>
  <c r="J405" i="5" s="1"/>
  <c r="J406" i="5" a="1"/>
  <c r="J406" i="5" s="1"/>
  <c r="J407" i="5" a="1"/>
  <c r="J407" i="5" s="1"/>
  <c r="J408" i="5" a="1"/>
  <c r="J408" i="5" s="1"/>
  <c r="J409" i="5" a="1"/>
  <c r="J409" i="5" s="1"/>
  <c r="J410" i="5" a="1"/>
  <c r="J410" i="5" s="1"/>
  <c r="J411" i="5" a="1"/>
  <c r="J411" i="5" s="1"/>
  <c r="J412" i="5" a="1"/>
  <c r="J412" i="5" s="1"/>
  <c r="J413" i="5" a="1"/>
  <c r="J413" i="5" s="1"/>
  <c r="J414" i="5" a="1"/>
  <c r="J414" i="5" s="1"/>
  <c r="J415" i="5" a="1"/>
  <c r="J415" i="5" s="1"/>
  <c r="J416" i="5" a="1"/>
  <c r="J416" i="5" s="1"/>
  <c r="J417" i="5" a="1"/>
  <c r="J417" i="5" s="1"/>
  <c r="J418" i="5" a="1"/>
  <c r="J418" i="5" s="1"/>
  <c r="J419" i="5" a="1"/>
  <c r="J419" i="5" s="1"/>
  <c r="J420" i="5" a="1"/>
  <c r="J420" i="5" s="1"/>
  <c r="J421" i="5" a="1"/>
  <c r="J421" i="5" s="1"/>
  <c r="J422" i="5" a="1"/>
  <c r="J422" i="5" s="1"/>
  <c r="J423" i="5" a="1"/>
  <c r="J423" i="5" s="1"/>
  <c r="J424" i="5" a="1"/>
  <c r="J424" i="5" s="1"/>
  <c r="J425" i="5" a="1"/>
  <c r="J425" i="5" s="1"/>
  <c r="J426" i="5" a="1"/>
  <c r="J426" i="5" s="1"/>
  <c r="J427" i="5" a="1"/>
  <c r="J427" i="5" s="1"/>
  <c r="J428" i="5" a="1"/>
  <c r="J428" i="5" s="1"/>
  <c r="J429" i="5" a="1"/>
  <c r="J429" i="5" s="1"/>
  <c r="J430" i="5" a="1"/>
  <c r="J430" i="5" s="1"/>
  <c r="J431" i="5" a="1"/>
  <c r="J431" i="5" s="1"/>
  <c r="J432" i="5" a="1"/>
  <c r="J432" i="5" s="1"/>
  <c r="J433" i="5" a="1"/>
  <c r="J433" i="5" s="1"/>
  <c r="J434" i="5" a="1"/>
  <c r="J434" i="5" s="1"/>
  <c r="J435" i="5" a="1"/>
  <c r="J435" i="5" s="1"/>
  <c r="J436" i="5" a="1"/>
  <c r="J436" i="5" s="1"/>
  <c r="J437" i="5" a="1"/>
  <c r="J437" i="5" s="1"/>
  <c r="J438" i="5" a="1"/>
  <c r="J438" i="5" s="1"/>
  <c r="J439" i="5" a="1"/>
  <c r="J439" i="5" s="1"/>
  <c r="J440" i="5" a="1"/>
  <c r="J440" i="5" s="1"/>
  <c r="J441" i="5" a="1"/>
  <c r="J441" i="5" s="1"/>
  <c r="J442" i="5" a="1"/>
  <c r="J442" i="5" s="1"/>
  <c r="J443" i="5" a="1"/>
  <c r="J443" i="5" s="1"/>
  <c r="J444" i="5" a="1"/>
  <c r="J444" i="5" s="1"/>
  <c r="J445" i="5" a="1"/>
  <c r="J445" i="5" s="1"/>
  <c r="J446" i="5" a="1"/>
  <c r="J446" i="5" s="1"/>
  <c r="J447" i="5" a="1"/>
  <c r="J447" i="5" s="1"/>
  <c r="J448" i="5" a="1"/>
  <c r="J448" i="5" s="1"/>
  <c r="J449" i="5" a="1"/>
  <c r="J449" i="5" s="1"/>
  <c r="J450" i="5" a="1"/>
  <c r="J450" i="5" s="1"/>
  <c r="J451" i="5" a="1"/>
  <c r="J451" i="5" s="1"/>
  <c r="J452" i="5" a="1"/>
  <c r="J452" i="5" s="1"/>
  <c r="J453" i="5" a="1"/>
  <c r="J453" i="5" s="1"/>
  <c r="J454" i="5" a="1"/>
  <c r="J454" i="5" s="1"/>
  <c r="J455" i="5" a="1"/>
  <c r="J455" i="5" s="1"/>
  <c r="J456" i="5" a="1"/>
  <c r="J456" i="5" s="1"/>
  <c r="J457" i="5" a="1"/>
  <c r="J457" i="5" s="1"/>
  <c r="J458" i="5" a="1"/>
  <c r="J458" i="5" s="1"/>
  <c r="J459" i="5" a="1"/>
  <c r="J459" i="5" s="1"/>
  <c r="J460" i="5" a="1"/>
  <c r="J460" i="5" s="1"/>
  <c r="J461" i="5" a="1"/>
  <c r="J461" i="5" s="1"/>
  <c r="J462" i="5" a="1"/>
  <c r="J462" i="5" s="1"/>
  <c r="J463" i="5" a="1"/>
  <c r="J463" i="5" s="1"/>
  <c r="J464" i="5" a="1"/>
  <c r="J464" i="5" s="1"/>
  <c r="J465" i="5" a="1"/>
  <c r="J465" i="5" s="1"/>
  <c r="J466" i="5" a="1"/>
  <c r="J466" i="5" s="1"/>
  <c r="J467" i="5" a="1"/>
  <c r="J467" i="5" s="1"/>
  <c r="J468" i="5" a="1"/>
  <c r="J468" i="5" s="1"/>
  <c r="J469" i="5" a="1"/>
  <c r="J469" i="5" s="1"/>
  <c r="J470" i="5" a="1"/>
  <c r="J470" i="5" s="1"/>
  <c r="J471" i="5" a="1"/>
  <c r="J471" i="5" s="1"/>
  <c r="J472" i="5" a="1"/>
  <c r="J472" i="5" s="1"/>
  <c r="J473" i="5" a="1"/>
  <c r="J473" i="5" s="1"/>
  <c r="J474" i="5" a="1"/>
  <c r="J474" i="5" s="1"/>
  <c r="J475" i="5" a="1"/>
  <c r="J475" i="5" s="1"/>
  <c r="J476" i="5" a="1"/>
  <c r="J476" i="5" s="1"/>
  <c r="J477" i="5" a="1"/>
  <c r="J477" i="5" s="1"/>
  <c r="J478" i="5" a="1"/>
  <c r="J478" i="5" s="1"/>
  <c r="J479" i="5" a="1"/>
  <c r="J479" i="5" s="1"/>
  <c r="J480" i="5" a="1"/>
  <c r="J480" i="5" s="1"/>
  <c r="J481" i="5" a="1"/>
  <c r="J481" i="5" s="1"/>
  <c r="J482" i="5" a="1"/>
  <c r="J482" i="5" s="1"/>
  <c r="J483" i="5" a="1"/>
  <c r="J483" i="5" s="1"/>
  <c r="J484" i="5" a="1"/>
  <c r="J484" i="5" s="1"/>
  <c r="J485" i="5" a="1"/>
  <c r="J485" i="5" s="1"/>
  <c r="J486" i="5" a="1"/>
  <c r="J486" i="5" s="1"/>
  <c r="J487" i="5" a="1"/>
  <c r="J487" i="5" s="1"/>
  <c r="J488" i="5" a="1"/>
  <c r="J488" i="5" s="1"/>
  <c r="J489" i="5" a="1"/>
  <c r="J489" i="5" s="1"/>
  <c r="J490" i="5" a="1"/>
  <c r="J490" i="5" s="1"/>
  <c r="J491" i="5" a="1"/>
  <c r="J491" i="5" s="1"/>
  <c r="J492" i="5" a="1"/>
  <c r="J492" i="5" s="1"/>
  <c r="J493" i="5" a="1"/>
  <c r="J493" i="5" s="1"/>
  <c r="J494" i="5" a="1"/>
  <c r="J494" i="5" s="1"/>
  <c r="J495" i="5" a="1"/>
  <c r="J495" i="5" s="1"/>
  <c r="J496" i="5" a="1"/>
  <c r="J496" i="5" s="1"/>
  <c r="J497" i="5" a="1"/>
  <c r="J497" i="5" s="1"/>
  <c r="J498" i="5" a="1"/>
  <c r="J498" i="5" s="1"/>
  <c r="J499" i="5" a="1"/>
  <c r="J499" i="5" s="1"/>
  <c r="J500" i="5" a="1"/>
  <c r="J500" i="5" s="1"/>
  <c r="J501" i="5" a="1"/>
  <c r="J501" i="5" s="1"/>
  <c r="J502" i="5" a="1"/>
  <c r="J502" i="5" s="1"/>
  <c r="J503" i="5" a="1"/>
  <c r="J503" i="5" s="1"/>
  <c r="J504" i="5" a="1"/>
  <c r="J504" i="5" s="1"/>
  <c r="J505" i="5" a="1"/>
  <c r="J505" i="5" s="1"/>
  <c r="J506" i="5" a="1"/>
  <c r="J506" i="5" s="1"/>
  <c r="J507" i="5" a="1"/>
  <c r="J507" i="5" s="1"/>
  <c r="J508" i="5" a="1"/>
  <c r="J508" i="5" s="1"/>
  <c r="J509" i="5" a="1"/>
  <c r="J509" i="5" s="1"/>
  <c r="J510" i="5" a="1"/>
  <c r="J510" i="5" s="1"/>
  <c r="J511" i="5" a="1"/>
  <c r="J511" i="5" s="1"/>
  <c r="J512" i="5" a="1"/>
  <c r="J512" i="5" s="1"/>
  <c r="J513" i="5" a="1"/>
  <c r="J513" i="5" s="1"/>
  <c r="J514" i="5" a="1"/>
  <c r="J514" i="5" s="1"/>
  <c r="J515" i="5" a="1"/>
  <c r="J515" i="5" s="1"/>
  <c r="J516" i="5" a="1"/>
  <c r="J516" i="5" s="1"/>
  <c r="J517" i="5" a="1"/>
  <c r="J517" i="5" s="1"/>
  <c r="J518" i="5" a="1"/>
  <c r="J518" i="5" s="1"/>
  <c r="J519" i="5" a="1"/>
  <c r="J519" i="5" s="1"/>
  <c r="J520" i="5" a="1"/>
  <c r="J520" i="5" s="1"/>
  <c r="J521" i="5" a="1"/>
  <c r="J521" i="5" s="1"/>
  <c r="J522" i="5" a="1"/>
  <c r="J522" i="5" s="1"/>
  <c r="J523" i="5" a="1"/>
  <c r="J523" i="5" s="1"/>
  <c r="J524" i="5" a="1"/>
  <c r="J524" i="5" s="1"/>
  <c r="J525" i="5" a="1"/>
  <c r="J525" i="5" s="1"/>
  <c r="J526" i="5" a="1"/>
  <c r="J526" i="5" s="1"/>
  <c r="J527" i="5" a="1"/>
  <c r="J527" i="5"/>
  <c r="J528" i="5" a="1"/>
  <c r="J528" i="5" s="1"/>
  <c r="J529" i="5" a="1"/>
  <c r="J529" i="5" s="1"/>
  <c r="J530" i="5" a="1"/>
  <c r="J530" i="5" s="1"/>
  <c r="J531" i="5" a="1"/>
  <c r="J531" i="5" s="1"/>
  <c r="J532" i="5" a="1"/>
  <c r="J532" i="5" s="1"/>
  <c r="J533" i="5" a="1"/>
  <c r="J533" i="5" s="1"/>
  <c r="J534" i="5" a="1"/>
  <c r="J534" i="5" s="1"/>
  <c r="J535" i="5" a="1"/>
  <c r="J535" i="5"/>
  <c r="J536" i="5" a="1"/>
  <c r="J536" i="5" s="1"/>
  <c r="J537" i="5" a="1"/>
  <c r="J537" i="5" s="1"/>
  <c r="J538" i="5" a="1"/>
  <c r="J538" i="5" s="1"/>
  <c r="J539" i="5" a="1"/>
  <c r="J539" i="5" s="1"/>
  <c r="J540" i="5" a="1"/>
  <c r="J540" i="5" s="1"/>
  <c r="J541" i="5" a="1"/>
  <c r="J541" i="5" s="1"/>
  <c r="J542" i="5" a="1"/>
  <c r="J542" i="5" s="1"/>
  <c r="J543" i="5" a="1"/>
  <c r="J543" i="5" s="1"/>
  <c r="J544" i="5" a="1"/>
  <c r="J544" i="5" s="1"/>
  <c r="J545" i="5" a="1"/>
  <c r="J545" i="5" s="1"/>
  <c r="J546" i="5" a="1"/>
  <c r="J546" i="5" s="1"/>
  <c r="J547" i="5" a="1"/>
  <c r="J547" i="5" s="1"/>
  <c r="J548" i="5" a="1"/>
  <c r="J548" i="5" s="1"/>
  <c r="J549" i="5" a="1"/>
  <c r="J549" i="5" s="1"/>
  <c r="J550" i="5" a="1"/>
  <c r="J550" i="5" s="1"/>
  <c r="J551" i="5" a="1"/>
  <c r="J551" i="5" s="1"/>
  <c r="J552" i="5" a="1"/>
  <c r="J552" i="5"/>
  <c r="J553" i="5" a="1"/>
  <c r="J553" i="5"/>
  <c r="J554" i="5" a="1"/>
  <c r="J554" i="5" s="1"/>
  <c r="J555" i="5" a="1"/>
  <c r="J555" i="5" s="1"/>
  <c r="J556" i="5" a="1"/>
  <c r="J556" i="5" s="1"/>
  <c r="J557" i="5" a="1"/>
  <c r="J557" i="5" s="1"/>
  <c r="J558" i="5" a="1"/>
  <c r="J558" i="5" s="1"/>
  <c r="J559" i="5" a="1"/>
  <c r="J559" i="5" s="1"/>
  <c r="J560" i="5" a="1"/>
  <c r="J560" i="5"/>
  <c r="J561" i="5" a="1"/>
  <c r="J561" i="5" s="1"/>
  <c r="J562" i="5" a="1"/>
  <c r="J562" i="5" s="1"/>
  <c r="J563" i="5" a="1"/>
  <c r="J563" i="5" s="1"/>
  <c r="J564" i="5" a="1"/>
  <c r="J564" i="5" s="1"/>
  <c r="J565" i="5" a="1"/>
  <c r="J565" i="5" s="1"/>
  <c r="J566" i="5" a="1"/>
  <c r="J566" i="5" s="1"/>
  <c r="J567" i="5" a="1"/>
  <c r="J567" i="5" s="1"/>
  <c r="J568" i="5" a="1"/>
  <c r="J568" i="5" s="1"/>
  <c r="J569" i="5" a="1"/>
  <c r="J569" i="5" s="1"/>
  <c r="J570" i="5" a="1"/>
  <c r="J570" i="5"/>
  <c r="J571" i="5" a="1"/>
  <c r="J571" i="5" s="1"/>
  <c r="J572" i="5" a="1"/>
  <c r="J572" i="5" s="1"/>
  <c r="J573" i="5" a="1"/>
  <c r="J573" i="5" s="1"/>
  <c r="J574" i="5" a="1"/>
  <c r="J574" i="5" s="1"/>
  <c r="J575" i="5" a="1"/>
  <c r="J575" i="5" s="1"/>
  <c r="J576" i="5" a="1"/>
  <c r="J576" i="5" s="1"/>
  <c r="J577" i="5" a="1"/>
  <c r="J577" i="5" s="1"/>
  <c r="J578" i="5" a="1"/>
  <c r="J578" i="5" s="1"/>
  <c r="J579" i="5" a="1"/>
  <c r="J579" i="5" s="1"/>
  <c r="J580" i="5" a="1"/>
  <c r="J580" i="5" s="1"/>
  <c r="J581" i="5" a="1"/>
  <c r="J581" i="5"/>
  <c r="J582" i="5" a="1"/>
  <c r="J582" i="5"/>
  <c r="J583" i="5" a="1"/>
  <c r="J583" i="5" s="1"/>
  <c r="J584" i="5" a="1"/>
  <c r="J584" i="5" s="1"/>
  <c r="J585" i="5" a="1"/>
  <c r="J585" i="5" s="1"/>
  <c r="J586" i="5" a="1"/>
  <c r="J586" i="5" s="1"/>
  <c r="J587" i="5" a="1"/>
  <c r="J587" i="5" s="1"/>
  <c r="J588" i="5" a="1"/>
  <c r="J588" i="5" s="1"/>
  <c r="J589" i="5" a="1"/>
  <c r="J589" i="5" s="1"/>
  <c r="J590" i="5" a="1"/>
  <c r="J590" i="5" s="1"/>
  <c r="J591" i="5" a="1"/>
  <c r="J591" i="5" s="1"/>
  <c r="J592" i="5" a="1"/>
  <c r="J592" i="5" s="1"/>
  <c r="J593" i="5" a="1"/>
  <c r="J593" i="5" s="1"/>
  <c r="J594" i="5" a="1"/>
  <c r="J594" i="5" s="1"/>
  <c r="J595" i="5" a="1"/>
  <c r="J595" i="5" s="1"/>
  <c r="J596" i="5" a="1"/>
  <c r="J596" i="5" s="1"/>
  <c r="J597" i="5" a="1"/>
  <c r="J597" i="5" s="1"/>
  <c r="J598" i="5" a="1"/>
  <c r="J598" i="5" s="1"/>
  <c r="J599" i="5" a="1"/>
  <c r="J599" i="5" s="1"/>
  <c r="J600" i="5" a="1"/>
  <c r="J600" i="5" s="1"/>
  <c r="J601" i="5" a="1"/>
  <c r="J601" i="5" s="1"/>
  <c r="J602" i="5" a="1"/>
  <c r="J602" i="5" s="1"/>
  <c r="J603" i="5" a="1"/>
  <c r="J603" i="5" s="1"/>
  <c r="J604" i="5" a="1"/>
  <c r="J604" i="5" s="1"/>
  <c r="J605" i="5" a="1"/>
  <c r="J605" i="5" s="1"/>
  <c r="J606" i="5" a="1"/>
  <c r="J606" i="5" s="1"/>
  <c r="J607" i="5" a="1"/>
  <c r="J607" i="5" s="1"/>
  <c r="J608" i="5" a="1"/>
  <c r="J608" i="5" s="1"/>
  <c r="J609" i="5" a="1"/>
  <c r="J609" i="5" s="1"/>
  <c r="J610" i="5" a="1"/>
  <c r="J610" i="5" s="1"/>
  <c r="J611" i="5" a="1"/>
  <c r="J611" i="5" s="1"/>
  <c r="J612" i="5" a="1"/>
  <c r="J612" i="5" s="1"/>
  <c r="J613" i="5" a="1"/>
  <c r="J613" i="5" s="1"/>
  <c r="J614" i="5" a="1"/>
  <c r="J614" i="5" s="1"/>
  <c r="J615" i="5" a="1"/>
  <c r="J615" i="5" s="1"/>
  <c r="J616" i="5" a="1"/>
  <c r="J616" i="5" s="1"/>
  <c r="J617" i="5" a="1"/>
  <c r="J617" i="5" s="1"/>
  <c r="J618" i="5" a="1"/>
  <c r="J618" i="5" s="1"/>
  <c r="J619" i="5" a="1"/>
  <c r="J619" i="5" s="1"/>
  <c r="J620" i="5" a="1"/>
  <c r="J620" i="5" s="1"/>
  <c r="J621" i="5" a="1"/>
  <c r="J621" i="5" s="1"/>
  <c r="J622" i="5" a="1"/>
  <c r="J622" i="5" s="1"/>
  <c r="J623" i="5" a="1"/>
  <c r="J623" i="5" s="1"/>
  <c r="J624" i="5" a="1"/>
  <c r="J624" i="5" s="1"/>
  <c r="J625" i="5" a="1"/>
  <c r="J625" i="5" s="1"/>
  <c r="J626" i="5" a="1"/>
  <c r="J626" i="5" s="1"/>
  <c r="J627" i="5" a="1"/>
  <c r="J627" i="5" s="1"/>
  <c r="J628" i="5" a="1"/>
  <c r="J628" i="5" s="1"/>
  <c r="J629" i="5" a="1"/>
  <c r="J629" i="5" s="1"/>
  <c r="J630" i="5" a="1"/>
  <c r="J630" i="5" s="1"/>
  <c r="J631" i="5" a="1"/>
  <c r="J631" i="5" s="1"/>
  <c r="J632" i="5" a="1"/>
  <c r="J632" i="5" s="1"/>
  <c r="J633" i="5" a="1"/>
  <c r="J633" i="5" s="1"/>
  <c r="J634" i="5" a="1"/>
  <c r="J634" i="5" s="1"/>
  <c r="J635" i="5" a="1"/>
  <c r="J635" i="5" s="1"/>
  <c r="J636" i="5" a="1"/>
  <c r="J636" i="5" s="1"/>
  <c r="J637" i="5" a="1"/>
  <c r="J637" i="5" s="1"/>
  <c r="J638" i="5" a="1"/>
  <c r="J638" i="5" s="1"/>
  <c r="J639" i="5" a="1"/>
  <c r="J639" i="5" s="1"/>
  <c r="J640" i="5" a="1"/>
  <c r="J640" i="5" s="1"/>
  <c r="J641" i="5" a="1"/>
  <c r="J641" i="5" s="1"/>
  <c r="J642" i="5" a="1"/>
  <c r="J642" i="5" s="1"/>
  <c r="J643" i="5" a="1"/>
  <c r="J643" i="5" s="1"/>
  <c r="J644" i="5" a="1"/>
  <c r="J644" i="5"/>
  <c r="J645" i="5" a="1"/>
  <c r="J645" i="5" s="1"/>
  <c r="J646" i="5" a="1"/>
  <c r="J646" i="5" s="1"/>
  <c r="J647" i="5" a="1"/>
  <c r="J647" i="5" s="1"/>
  <c r="J648" i="5" a="1"/>
  <c r="J648" i="5" s="1"/>
  <c r="J649" i="5" a="1"/>
  <c r="J649" i="5" s="1"/>
  <c r="J650" i="5" a="1"/>
  <c r="J650" i="5" s="1"/>
  <c r="J651" i="5" a="1"/>
  <c r="J651" i="5" s="1"/>
  <c r="J652" i="5" a="1"/>
  <c r="J652" i="5" s="1"/>
  <c r="J653" i="5" a="1"/>
  <c r="J653" i="5" s="1"/>
  <c r="J654" i="5" a="1"/>
  <c r="J654" i="5"/>
  <c r="J655" i="5" a="1"/>
  <c r="J655" i="5" s="1"/>
  <c r="J656" i="5" a="1"/>
  <c r="J656" i="5" s="1"/>
  <c r="J657" i="5" a="1"/>
  <c r="J657" i="5" s="1"/>
  <c r="J658" i="5" a="1"/>
  <c r="J658" i="5" s="1"/>
  <c r="J659" i="5" a="1"/>
  <c r="J659" i="5"/>
  <c r="J660" i="5" a="1"/>
  <c r="J660" i="5" s="1"/>
  <c r="J661" i="5" a="1"/>
  <c r="J661" i="5" s="1"/>
  <c r="J662" i="5" a="1"/>
  <c r="J662" i="5" s="1"/>
  <c r="J663" i="5" a="1"/>
  <c r="J663" i="5" s="1"/>
  <c r="J664" i="5" a="1"/>
  <c r="J664" i="5" s="1"/>
  <c r="J665" i="5" a="1"/>
  <c r="J665" i="5" s="1"/>
  <c r="J666" i="5" a="1"/>
  <c r="J666" i="5" s="1"/>
  <c r="J667" i="5" a="1"/>
  <c r="J667" i="5" s="1"/>
  <c r="J668" i="5" a="1"/>
  <c r="J668" i="5" s="1"/>
  <c r="J669" i="5" a="1"/>
  <c r="J669" i="5" s="1"/>
  <c r="J670" i="5" a="1"/>
  <c r="J670" i="5" s="1"/>
  <c r="J671" i="5" a="1"/>
  <c r="J671" i="5" s="1"/>
  <c r="J672" i="5" a="1"/>
  <c r="J672" i="5" s="1"/>
  <c r="J673" i="5" a="1"/>
  <c r="J673" i="5" s="1"/>
  <c r="J674" i="5" a="1"/>
  <c r="J674" i="5" s="1"/>
  <c r="J675" i="5" a="1"/>
  <c r="J675" i="5" s="1"/>
  <c r="J676" i="5" a="1"/>
  <c r="J676" i="5" s="1"/>
  <c r="J677" i="5" a="1"/>
  <c r="J677" i="5" s="1"/>
  <c r="J678" i="5" a="1"/>
  <c r="J678" i="5" s="1"/>
  <c r="J679" i="5" a="1"/>
  <c r="J679" i="5" s="1"/>
  <c r="J680" i="5" a="1"/>
  <c r="J680" i="5" s="1"/>
  <c r="J681" i="5" a="1"/>
  <c r="J681" i="5" s="1"/>
  <c r="J682" i="5" a="1"/>
  <c r="J682" i="5" s="1"/>
  <c r="J683" i="5" a="1"/>
  <c r="J683" i="5" s="1"/>
  <c r="J684" i="5" a="1"/>
  <c r="J684" i="5" s="1"/>
  <c r="J685" i="5" a="1"/>
  <c r="J685" i="5" s="1"/>
  <c r="J686" i="5" a="1"/>
  <c r="J686" i="5" s="1"/>
  <c r="J687" i="5" a="1"/>
  <c r="J687" i="5" s="1"/>
  <c r="J688" i="5" a="1"/>
  <c r="J688" i="5"/>
  <c r="J689" i="5" a="1"/>
  <c r="J689" i="5" s="1"/>
  <c r="J690" i="5" a="1"/>
  <c r="J690" i="5" s="1"/>
  <c r="J691" i="5" a="1"/>
  <c r="J691" i="5" s="1"/>
  <c r="J692" i="5" a="1"/>
  <c r="J692" i="5" s="1"/>
  <c r="J693" i="5" a="1"/>
  <c r="J693" i="5" s="1"/>
  <c r="J694" i="5" a="1"/>
  <c r="J694" i="5" s="1"/>
  <c r="J695" i="5" a="1"/>
  <c r="J695" i="5" s="1"/>
  <c r="J696" i="5" a="1"/>
  <c r="J696" i="5" s="1"/>
  <c r="J697" i="5" a="1"/>
  <c r="J697" i="5" s="1"/>
  <c r="J698" i="5" a="1"/>
  <c r="J698" i="5" s="1"/>
  <c r="J699" i="5" a="1"/>
  <c r="J699" i="5" s="1"/>
  <c r="J700" i="5" a="1"/>
  <c r="J700" i="5" s="1"/>
  <c r="J701" i="5" a="1"/>
  <c r="J701" i="5" s="1"/>
  <c r="J702" i="5" a="1"/>
  <c r="J702" i="5"/>
  <c r="J703" i="5" a="1"/>
  <c r="J703" i="5"/>
  <c r="J704" i="5" a="1"/>
  <c r="J704" i="5" s="1"/>
  <c r="J705" i="5" a="1"/>
  <c r="J705" i="5" s="1"/>
  <c r="J706" i="5" a="1"/>
  <c r="J706" i="5" s="1"/>
  <c r="J707" i="5" a="1"/>
  <c r="J707" i="5" s="1"/>
  <c r="J708" i="5" a="1"/>
  <c r="J708" i="5" s="1"/>
  <c r="J709" i="5" a="1"/>
  <c r="J709" i="5" s="1"/>
  <c r="J710" i="5" a="1"/>
  <c r="J710" i="5" s="1"/>
  <c r="J711" i="5" a="1"/>
  <c r="J711" i="5" s="1"/>
  <c r="J712" i="5" a="1"/>
  <c r="J712" i="5" s="1"/>
  <c r="J713" i="5" a="1"/>
  <c r="J713" i="5" s="1"/>
  <c r="J714" i="5" a="1"/>
  <c r="J714" i="5" s="1"/>
  <c r="J715" i="5" a="1"/>
  <c r="J715" i="5" s="1"/>
  <c r="J716" i="5" a="1"/>
  <c r="J716" i="5" s="1"/>
  <c r="J717" i="5" a="1"/>
  <c r="J717" i="5" s="1"/>
  <c r="J718" i="5" a="1"/>
  <c r="J718" i="5" s="1"/>
  <c r="J719" i="5" a="1"/>
  <c r="J719" i="5" s="1"/>
  <c r="J720" i="5" a="1"/>
  <c r="J720" i="5" s="1"/>
  <c r="J721" i="5" a="1"/>
  <c r="J721" i="5" s="1"/>
  <c r="J722" i="5" a="1"/>
  <c r="J722" i="5" s="1"/>
  <c r="J723" i="5" a="1"/>
  <c r="J723" i="5" s="1"/>
  <c r="J724" i="5" a="1"/>
  <c r="J724" i="5" s="1"/>
  <c r="J725" i="5" a="1"/>
  <c r="J725" i="5" s="1"/>
  <c r="J726" i="5" a="1"/>
  <c r="J726" i="5" s="1"/>
  <c r="J727" i="5" a="1"/>
  <c r="J727" i="5" s="1"/>
  <c r="J728" i="5" a="1"/>
  <c r="J728" i="5" s="1"/>
  <c r="J729" i="5" a="1"/>
  <c r="J729" i="5" s="1"/>
  <c r="J730" i="5" a="1"/>
  <c r="J730" i="5" s="1"/>
  <c r="J731" i="5" a="1"/>
  <c r="J731" i="5" s="1"/>
  <c r="J732" i="5" a="1"/>
  <c r="J732" i="5" s="1"/>
  <c r="J733" i="5" a="1"/>
  <c r="J733" i="5" s="1"/>
  <c r="J734" i="5" a="1"/>
  <c r="J734" i="5" s="1"/>
  <c r="J735" i="5" a="1"/>
  <c r="J735" i="5" s="1"/>
  <c r="J736" i="5" a="1"/>
  <c r="J736" i="5" s="1"/>
  <c r="J737" i="5" a="1"/>
  <c r="J737" i="5" s="1"/>
  <c r="J738" i="5" a="1"/>
  <c r="J738" i="5" s="1"/>
  <c r="J739" i="5" a="1"/>
  <c r="J739" i="5"/>
  <c r="J740" i="5" a="1"/>
  <c r="J740" i="5"/>
  <c r="J741" i="5" a="1"/>
  <c r="J741" i="5" s="1"/>
  <c r="J742" i="5" a="1"/>
  <c r="J742" i="5" s="1"/>
  <c r="J743" i="5" a="1"/>
  <c r="J743" i="5"/>
  <c r="J744" i="5" a="1"/>
  <c r="J744" i="5" s="1"/>
  <c r="J745" i="5" a="1"/>
  <c r="J745" i="5" s="1"/>
  <c r="J746" i="5" a="1"/>
  <c r="J746" i="5" s="1"/>
  <c r="J747" i="5" a="1"/>
  <c r="J747" i="5" s="1"/>
  <c r="J748" i="5" a="1"/>
  <c r="J748" i="5" s="1"/>
  <c r="J749" i="5" a="1"/>
  <c r="J749" i="5" s="1"/>
  <c r="J750" i="5" a="1"/>
  <c r="J750" i="5" s="1"/>
  <c r="J751" i="5" a="1"/>
  <c r="J751" i="5" s="1"/>
  <c r="J752" i="5" a="1"/>
  <c r="J752" i="5" s="1"/>
  <c r="J753" i="5" a="1"/>
  <c r="J753" i="5" s="1"/>
  <c r="J754" i="5" a="1"/>
  <c r="J754" i="5" s="1"/>
  <c r="J755" i="5" a="1"/>
  <c r="J755" i="5" s="1"/>
  <c r="J756" i="5" a="1"/>
  <c r="J756" i="5" s="1"/>
  <c r="J757" i="5" a="1"/>
  <c r="J757" i="5" s="1"/>
  <c r="J758" i="5" a="1"/>
  <c r="J758" i="5" s="1"/>
  <c r="J759" i="5" a="1"/>
  <c r="J759" i="5" s="1"/>
  <c r="J760" i="5" a="1"/>
  <c r="J760" i="5" s="1"/>
  <c r="J761" i="5" a="1"/>
  <c r="J761" i="5" s="1"/>
  <c r="J762" i="5" a="1"/>
  <c r="J762" i="5" s="1"/>
  <c r="J763" i="5" a="1"/>
  <c r="J763" i="5" s="1"/>
  <c r="J764" i="5" a="1"/>
  <c r="J764" i="5" s="1"/>
  <c r="J765" i="5" a="1"/>
  <c r="J765" i="5" s="1"/>
  <c r="J766" i="5" a="1"/>
  <c r="J766" i="5" s="1"/>
  <c r="J767" i="5" a="1"/>
  <c r="J767" i="5" s="1"/>
  <c r="J768" i="5" a="1"/>
  <c r="J768" i="5" s="1"/>
  <c r="J769" i="5" a="1"/>
  <c r="J769" i="5" s="1"/>
  <c r="J770" i="5" a="1"/>
  <c r="J770" i="5" s="1"/>
  <c r="J771" i="5" a="1"/>
  <c r="J771" i="5" s="1"/>
  <c r="J772" i="5" a="1"/>
  <c r="J772" i="5" s="1"/>
  <c r="J773" i="5" a="1"/>
  <c r="J773" i="5" s="1"/>
  <c r="J774" i="5" a="1"/>
  <c r="J774" i="5" s="1"/>
  <c r="J775" i="5" a="1"/>
  <c r="J775" i="5" s="1"/>
  <c r="J776" i="5" a="1"/>
  <c r="J776" i="5"/>
  <c r="J777" i="5" a="1"/>
  <c r="J777" i="5" s="1"/>
  <c r="J778" i="5" a="1"/>
  <c r="J778" i="5" s="1"/>
  <c r="J779" i="5" a="1"/>
  <c r="J779" i="5" s="1"/>
  <c r="J780" i="5" a="1"/>
  <c r="J780" i="5" s="1"/>
  <c r="J781" i="5" a="1"/>
  <c r="J781" i="5"/>
  <c r="J782" i="5" a="1"/>
  <c r="J782" i="5" s="1"/>
  <c r="J783" i="5" a="1"/>
  <c r="J783" i="5" s="1"/>
  <c r="J784" i="5" a="1"/>
  <c r="J784" i="5" s="1"/>
  <c r="J785" i="5" a="1"/>
  <c r="J785" i="5" s="1"/>
  <c r="J786" i="5" a="1"/>
  <c r="J786" i="5"/>
  <c r="J787" i="5" a="1"/>
  <c r="J787" i="5" s="1"/>
  <c r="J788" i="5" a="1"/>
  <c r="J788" i="5" s="1"/>
  <c r="J789" i="5" a="1"/>
  <c r="J789" i="5" s="1"/>
  <c r="J790" i="5" a="1"/>
  <c r="J790" i="5" s="1"/>
  <c r="J791" i="5" a="1"/>
  <c r="J791" i="5" s="1"/>
  <c r="J792" i="5" a="1"/>
  <c r="J792" i="5" s="1"/>
  <c r="J793" i="5" a="1"/>
  <c r="J793" i="5" s="1"/>
  <c r="J794" i="5" a="1"/>
  <c r="J794" i="5" s="1"/>
  <c r="J795" i="5" a="1"/>
  <c r="J795" i="5" s="1"/>
  <c r="J796" i="5" a="1"/>
  <c r="J796" i="5" s="1"/>
  <c r="J797" i="5" a="1"/>
  <c r="J797" i="5" s="1"/>
  <c r="J798" i="5" a="1"/>
  <c r="J798" i="5" s="1"/>
  <c r="J799" i="5" a="1"/>
  <c r="J799" i="5" s="1"/>
  <c r="J800" i="5" a="1"/>
  <c r="J800" i="5" s="1"/>
  <c r="J801" i="5" a="1"/>
  <c r="J801" i="5" s="1"/>
  <c r="J802" i="5" a="1"/>
  <c r="J802" i="5" s="1"/>
  <c r="J803" i="5" a="1"/>
  <c r="J803" i="5" s="1"/>
  <c r="J804" i="5" a="1"/>
  <c r="J804" i="5" s="1"/>
  <c r="J805" i="5" a="1"/>
  <c r="J805" i="5" s="1"/>
  <c r="J806" i="5" a="1"/>
  <c r="J806" i="5" s="1"/>
  <c r="J807" i="5" a="1"/>
  <c r="J807" i="5" s="1"/>
  <c r="J808" i="5" a="1"/>
  <c r="J808" i="5" s="1"/>
  <c r="J809" i="5" a="1"/>
  <c r="J809" i="5"/>
  <c r="J810" i="5" a="1"/>
  <c r="J810" i="5"/>
  <c r="J811" i="5" a="1"/>
  <c r="J811" i="5" s="1"/>
  <c r="J812" i="5" a="1"/>
  <c r="J812" i="5" s="1"/>
  <c r="J813" i="5" a="1"/>
  <c r="J813" i="5" s="1"/>
  <c r="J814" i="5" a="1"/>
  <c r="J814" i="5" s="1"/>
  <c r="J815" i="5" a="1"/>
  <c r="J815" i="5" s="1"/>
  <c r="J816" i="5" a="1"/>
  <c r="J816" i="5" s="1"/>
  <c r="J817" i="5" a="1"/>
  <c r="J817" i="5" s="1"/>
  <c r="J818" i="5" a="1"/>
  <c r="J818" i="5" s="1"/>
  <c r="J819" i="5" a="1"/>
  <c r="J819" i="5" s="1"/>
  <c r="J820" i="5" a="1"/>
  <c r="J820" i="5" s="1"/>
  <c r="J821" i="5" a="1"/>
  <c r="J821" i="5" s="1"/>
  <c r="J822" i="5" a="1"/>
  <c r="J822" i="5" s="1"/>
  <c r="J823" i="5" a="1"/>
  <c r="J823" i="5" s="1"/>
  <c r="J824" i="5" a="1"/>
  <c r="J824" i="5" s="1"/>
  <c r="J825" i="5" a="1"/>
  <c r="J825" i="5" s="1"/>
  <c r="J826" i="5" a="1"/>
  <c r="J826" i="5" s="1"/>
  <c r="J827" i="5" a="1"/>
  <c r="J827" i="5" s="1"/>
  <c r="J828" i="5" a="1"/>
  <c r="J828" i="5" s="1"/>
  <c r="J829" i="5" a="1"/>
  <c r="J829" i="5" s="1"/>
  <c r="J830" i="5" a="1"/>
  <c r="J830" i="5" s="1"/>
  <c r="J831" i="5" a="1"/>
  <c r="J831" i="5" s="1"/>
  <c r="J832" i="5" a="1"/>
  <c r="J832" i="5" s="1"/>
  <c r="J833" i="5" a="1"/>
  <c r="J833" i="5" s="1"/>
  <c r="J834" i="5" a="1"/>
  <c r="J834" i="5" s="1"/>
  <c r="J835" i="5" a="1"/>
  <c r="J835" i="5" s="1"/>
  <c r="J836" i="5" a="1"/>
  <c r="J836" i="5" s="1"/>
  <c r="J837" i="5" a="1"/>
  <c r="J837" i="5" s="1"/>
  <c r="J838" i="5" a="1"/>
  <c r="J838" i="5" s="1"/>
  <c r="J839" i="5" a="1"/>
  <c r="J839" i="5" s="1"/>
  <c r="J840" i="5" a="1"/>
  <c r="J840" i="5" s="1"/>
  <c r="J841" i="5" a="1"/>
  <c r="J841" i="5" s="1"/>
  <c r="J842" i="5" a="1"/>
  <c r="J842" i="5"/>
  <c r="J843" i="5" a="1"/>
  <c r="J843" i="5" s="1"/>
  <c r="J844" i="5" a="1"/>
  <c r="J844" i="5" s="1"/>
  <c r="J845" i="5" a="1"/>
  <c r="J845" i="5" s="1"/>
  <c r="J846" i="5" a="1"/>
  <c r="J846" i="5" s="1"/>
  <c r="J847" i="5" a="1"/>
  <c r="J847" i="5" s="1"/>
  <c r="J848" i="5" a="1"/>
  <c r="J848" i="5" s="1"/>
  <c r="J849" i="5" a="1"/>
  <c r="J849" i="5" s="1"/>
  <c r="J850" i="5" a="1"/>
  <c r="J850" i="5" s="1"/>
  <c r="J851" i="5" a="1"/>
  <c r="J851" i="5" s="1"/>
  <c r="J852" i="5" a="1"/>
  <c r="J852" i="5" s="1"/>
  <c r="J853" i="5" a="1"/>
  <c r="J853" i="5" s="1"/>
  <c r="J854" i="5" a="1"/>
  <c r="J854" i="5" s="1"/>
  <c r="J855" i="5" a="1"/>
  <c r="J855" i="5" s="1"/>
  <c r="J856" i="5" a="1"/>
  <c r="J856" i="5" s="1"/>
  <c r="J857" i="5" a="1"/>
  <c r="J857" i="5" s="1"/>
  <c r="J858" i="5" a="1"/>
  <c r="J858" i="5" s="1"/>
  <c r="J859" i="5" a="1"/>
  <c r="J859" i="5" s="1"/>
  <c r="J860" i="5" a="1"/>
  <c r="J860" i="5" s="1"/>
  <c r="J861" i="5" a="1"/>
  <c r="J861" i="5" s="1"/>
  <c r="J862" i="5" a="1"/>
  <c r="J862" i="5" s="1"/>
  <c r="J863" i="5" a="1"/>
  <c r="J863" i="5" s="1"/>
  <c r="J864" i="5" a="1"/>
  <c r="J864" i="5" s="1"/>
  <c r="J865" i="5" a="1"/>
  <c r="J865" i="5" s="1"/>
  <c r="J866" i="5" a="1"/>
  <c r="J866" i="5" s="1"/>
  <c r="J867" i="5" a="1"/>
  <c r="J867" i="5" s="1"/>
  <c r="J868" i="5" a="1"/>
  <c r="J868" i="5" s="1"/>
  <c r="J869" i="5" a="1"/>
  <c r="J869" i="5" s="1"/>
  <c r="J870" i="5" a="1"/>
  <c r="J870" i="5" s="1"/>
  <c r="J871" i="5" a="1"/>
  <c r="J871" i="5" s="1"/>
  <c r="J872" i="5" a="1"/>
  <c r="J872" i="5"/>
  <c r="J873" i="5" a="1"/>
  <c r="J873" i="5" s="1"/>
  <c r="J874" i="5" a="1"/>
  <c r="J874" i="5" s="1"/>
  <c r="J875" i="5" a="1"/>
  <c r="J875" i="5"/>
  <c r="J876" i="5" a="1"/>
  <c r="J876" i="5" s="1"/>
  <c r="J877" i="5" a="1"/>
  <c r="J877" i="5" s="1"/>
  <c r="J878" i="5" a="1"/>
  <c r="J878" i="5" s="1"/>
  <c r="J879" i="5" a="1"/>
  <c r="J879" i="5" s="1"/>
  <c r="J880" i="5" a="1"/>
  <c r="J880" i="5" s="1"/>
  <c r="J881" i="5" a="1"/>
  <c r="J881" i="5" s="1"/>
  <c r="J882" i="5" a="1"/>
  <c r="J882" i="5" s="1"/>
  <c r="J883" i="5" a="1"/>
  <c r="J883" i="5" s="1"/>
  <c r="J884" i="5" a="1"/>
  <c r="J884" i="5"/>
  <c r="J885" i="5" a="1"/>
  <c r="J885" i="5" s="1"/>
  <c r="J886" i="5" a="1"/>
  <c r="J886" i="5" s="1"/>
  <c r="J887" i="5" a="1"/>
  <c r="J887" i="5" s="1"/>
  <c r="J888" i="5" a="1"/>
  <c r="J888" i="5" s="1"/>
  <c r="J889" i="5" a="1"/>
  <c r="J889" i="5" s="1"/>
  <c r="J890" i="5" a="1"/>
  <c r="J890" i="5" s="1"/>
  <c r="J891" i="5" a="1"/>
  <c r="J891" i="5" s="1"/>
  <c r="J892" i="5" a="1"/>
  <c r="J892" i="5" s="1"/>
  <c r="J893" i="5" a="1"/>
  <c r="J893" i="5" s="1"/>
  <c r="J894" i="5" a="1"/>
  <c r="J894" i="5"/>
  <c r="J895" i="5" a="1"/>
  <c r="J895" i="5" s="1"/>
  <c r="J896" i="5" a="1"/>
  <c r="J896" i="5" s="1"/>
  <c r="J897" i="5" a="1"/>
  <c r="J897" i="5" s="1"/>
  <c r="J898" i="5" a="1"/>
  <c r="J898" i="5" s="1"/>
  <c r="J899" i="5" a="1"/>
  <c r="J899" i="5" s="1"/>
  <c r="J900" i="5" a="1"/>
  <c r="J900" i="5" s="1"/>
  <c r="J901" i="5" a="1"/>
  <c r="J901" i="5" s="1"/>
  <c r="J902" i="5" a="1"/>
  <c r="J902" i="5" s="1"/>
  <c r="J903" i="5" a="1"/>
  <c r="J903" i="5" s="1"/>
  <c r="J904" i="5" a="1"/>
  <c r="J904" i="5" s="1"/>
  <c r="J905" i="5" a="1"/>
  <c r="J905" i="5" s="1"/>
  <c r="J906" i="5" a="1"/>
  <c r="J906" i="5" s="1"/>
  <c r="J907" i="5" a="1"/>
  <c r="J907" i="5" s="1"/>
  <c r="J908" i="5" a="1"/>
  <c r="J908" i="5" s="1"/>
  <c r="J909" i="5" a="1"/>
  <c r="J909" i="5" s="1"/>
  <c r="J910" i="5" a="1"/>
  <c r="J910" i="5" s="1"/>
  <c r="J911" i="5" a="1"/>
  <c r="J911" i="5" s="1"/>
  <c r="J912" i="5" a="1"/>
  <c r="J912" i="5"/>
  <c r="J913" i="5" a="1"/>
  <c r="J913" i="5" s="1"/>
  <c r="J914" i="5" a="1"/>
  <c r="J914" i="5" s="1"/>
  <c r="J915" i="5" a="1"/>
  <c r="J915" i="5" s="1"/>
  <c r="J916" i="5" a="1"/>
  <c r="J916" i="5" s="1"/>
  <c r="J917" i="5" a="1"/>
  <c r="J917" i="5" s="1"/>
  <c r="J918" i="5" a="1"/>
  <c r="J918" i="5" s="1"/>
  <c r="J919" i="5" a="1"/>
  <c r="J919" i="5" s="1"/>
  <c r="J920" i="5" a="1"/>
  <c r="J920" i="5" s="1"/>
  <c r="J921" i="5" a="1"/>
  <c r="J921" i="5" s="1"/>
  <c r="J922" i="5" a="1"/>
  <c r="J922" i="5" s="1"/>
  <c r="J923" i="5" a="1"/>
  <c r="J923" i="5" s="1"/>
  <c r="J924" i="5" a="1"/>
  <c r="J924" i="5" s="1"/>
  <c r="J925" i="5" a="1"/>
  <c r="J925" i="5" s="1"/>
  <c r="J926" i="5" a="1"/>
  <c r="J926" i="5" s="1"/>
  <c r="J927" i="5" a="1"/>
  <c r="J927" i="5" s="1"/>
  <c r="J928" i="5" a="1"/>
  <c r="J928" i="5" s="1"/>
  <c r="J929" i="5" a="1"/>
  <c r="J929" i="5" s="1"/>
  <c r="J930" i="5" a="1"/>
  <c r="J930" i="5" s="1"/>
  <c r="J931" i="5" a="1"/>
  <c r="J931" i="5"/>
  <c r="J932" i="5" a="1"/>
  <c r="J932" i="5" s="1"/>
  <c r="J933" i="5" a="1"/>
  <c r="J933" i="5" s="1"/>
  <c r="J934" i="5" a="1"/>
  <c r="J934" i="5" s="1"/>
  <c r="J935" i="5" a="1"/>
  <c r="J935" i="5" s="1"/>
  <c r="J936" i="5" a="1"/>
  <c r="J936" i="5" s="1"/>
  <c r="J937" i="5" a="1"/>
  <c r="J937" i="5" s="1"/>
  <c r="J938" i="5" a="1"/>
  <c r="J938" i="5" s="1"/>
  <c r="J939" i="5" a="1"/>
  <c r="J939" i="5" s="1"/>
  <c r="J940" i="5" a="1"/>
  <c r="J940" i="5" s="1"/>
  <c r="J941" i="5" a="1"/>
  <c r="J941" i="5" s="1"/>
  <c r="J942" i="5" a="1"/>
  <c r="J942" i="5" s="1"/>
  <c r="J943" i="5" a="1"/>
  <c r="J943" i="5" s="1"/>
  <c r="J944" i="5" a="1"/>
  <c r="J944" i="5" s="1"/>
  <c r="J945" i="5" a="1"/>
  <c r="J945" i="5" s="1"/>
  <c r="J946" i="5" a="1"/>
  <c r="J946" i="5" s="1"/>
  <c r="J947" i="5" a="1"/>
  <c r="J947" i="5" s="1"/>
  <c r="J948" i="5" a="1"/>
  <c r="J948" i="5" s="1"/>
  <c r="J949" i="5" a="1"/>
  <c r="J949" i="5" s="1"/>
  <c r="J950" i="5" a="1"/>
  <c r="J950" i="5"/>
  <c r="J951" i="5" a="1"/>
  <c r="J951" i="5" s="1"/>
  <c r="J952" i="5" a="1"/>
  <c r="J952" i="5" s="1"/>
  <c r="J953" i="5" a="1"/>
  <c r="J953" i="5" s="1"/>
  <c r="J954" i="5" a="1"/>
  <c r="J954" i="5" s="1"/>
  <c r="J955" i="5" a="1"/>
  <c r="J955" i="5" s="1"/>
  <c r="J956" i="5" a="1"/>
  <c r="J956" i="5" s="1"/>
  <c r="J957" i="5" a="1"/>
  <c r="J957" i="5" s="1"/>
  <c r="J958" i="5" a="1"/>
  <c r="J958" i="5" s="1"/>
  <c r="J959" i="5" a="1"/>
  <c r="J959" i="5" s="1"/>
  <c r="J960" i="5" a="1"/>
  <c r="J960" i="5" s="1"/>
  <c r="J961" i="5" a="1"/>
  <c r="J961" i="5" s="1"/>
  <c r="J962" i="5" a="1"/>
  <c r="J962" i="5" s="1"/>
  <c r="J963" i="5" a="1"/>
  <c r="J963" i="5"/>
  <c r="J964" i="5" a="1"/>
  <c r="J964" i="5" s="1"/>
  <c r="J965" i="5" a="1"/>
  <c r="J965" i="5" s="1"/>
  <c r="J966" i="5" a="1"/>
  <c r="J966" i="5" s="1"/>
  <c r="J967" i="5" a="1"/>
  <c r="J967" i="5" s="1"/>
  <c r="J968" i="5" a="1"/>
  <c r="J968" i="5" s="1"/>
  <c r="J969" i="5" a="1"/>
  <c r="J969" i="5" s="1"/>
  <c r="J970" i="5" a="1"/>
  <c r="J970" i="5" s="1"/>
  <c r="J971" i="5" a="1"/>
  <c r="J971" i="5" s="1"/>
  <c r="J972" i="5" a="1"/>
  <c r="J972" i="5" s="1"/>
  <c r="J973" i="5" a="1"/>
  <c r="J973" i="5" s="1"/>
  <c r="J974" i="5" a="1"/>
  <c r="J974" i="5" s="1"/>
  <c r="J975" i="5" a="1"/>
  <c r="J975" i="5" s="1"/>
  <c r="J976" i="5" a="1"/>
  <c r="J976" i="5" s="1"/>
  <c r="J977" i="5" a="1"/>
  <c r="J977" i="5" s="1"/>
  <c r="J978" i="5" a="1"/>
  <c r="J978" i="5" s="1"/>
  <c r="J979" i="5" a="1"/>
  <c r="J979" i="5" s="1"/>
  <c r="J980" i="5" a="1"/>
  <c r="J980" i="5" s="1"/>
  <c r="J981" i="5" a="1"/>
  <c r="J981" i="5" s="1"/>
  <c r="J982" i="5" a="1"/>
  <c r="J982" i="5"/>
  <c r="J983" i="5" a="1"/>
  <c r="J983" i="5" s="1"/>
  <c r="J984" i="5" a="1"/>
  <c r="J984" i="5" s="1"/>
  <c r="J985" i="5" a="1"/>
  <c r="J985" i="5" s="1"/>
  <c r="J986" i="5" a="1"/>
  <c r="J986" i="5" s="1"/>
  <c r="J987" i="5" a="1"/>
  <c r="J987" i="5" s="1"/>
  <c r="J988" i="5" a="1"/>
  <c r="J988" i="5" s="1"/>
  <c r="J989" i="5" a="1"/>
  <c r="J989" i="5" s="1"/>
  <c r="J990" i="5" a="1"/>
  <c r="J990" i="5" s="1"/>
  <c r="J991" i="5" a="1"/>
  <c r="J991" i="5" s="1"/>
  <c r="J992" i="5" a="1"/>
  <c r="J992" i="5"/>
  <c r="J993" i="5" a="1"/>
  <c r="J993" i="5" s="1"/>
  <c r="J994" i="5" a="1"/>
  <c r="J994" i="5" s="1"/>
  <c r="J995" i="5" a="1"/>
  <c r="J995" i="5" s="1"/>
  <c r="J996" i="5" a="1"/>
  <c r="J996" i="5" s="1"/>
  <c r="J997" i="5" a="1"/>
  <c r="J997" i="5" s="1"/>
  <c r="J998" i="5" a="1"/>
  <c r="J998" i="5" s="1"/>
  <c r="J999" i="5" a="1"/>
  <c r="J999" i="5" s="1"/>
  <c r="J1000" i="5" a="1"/>
  <c r="J1000" i="5" s="1"/>
  <c r="J1001" i="5" a="1"/>
  <c r="J1001" i="5" s="1"/>
  <c r="H2" i="5"/>
  <c r="B2" i="5" s="1"/>
  <c r="H3" i="5"/>
  <c r="B3" i="5" s="1"/>
  <c r="H4" i="5"/>
  <c r="B4" i="5" s="1"/>
  <c r="H5" i="5"/>
  <c r="B5" i="5" s="1"/>
  <c r="H6" i="5"/>
  <c r="B6" i="5" s="1"/>
  <c r="H7" i="5"/>
  <c r="B7" i="5" s="1"/>
  <c r="H8" i="5"/>
  <c r="B8" i="5" s="1"/>
  <c r="H9" i="5"/>
  <c r="B9" i="5" s="1"/>
  <c r="H10" i="5"/>
  <c r="B10" i="5" s="1"/>
  <c r="H11" i="5"/>
  <c r="B11" i="5" s="1"/>
  <c r="H12" i="5"/>
  <c r="B12" i="5" s="1"/>
  <c r="H13" i="5"/>
  <c r="B13" i="5" s="1"/>
  <c r="H14" i="5"/>
  <c r="B14" i="5" s="1"/>
  <c r="H15" i="5"/>
  <c r="B15" i="5" s="1"/>
  <c r="H16" i="5"/>
  <c r="B16" i="5" s="1"/>
  <c r="H17" i="5"/>
  <c r="B17" i="5" s="1"/>
  <c r="H18" i="5"/>
  <c r="B18" i="5" s="1"/>
  <c r="H19" i="5"/>
  <c r="B19" i="5" s="1"/>
  <c r="H20" i="5"/>
  <c r="B20" i="5" s="1"/>
  <c r="H21" i="5"/>
  <c r="B21" i="5" s="1"/>
  <c r="H22" i="5"/>
  <c r="B22" i="5" s="1"/>
  <c r="H23" i="5"/>
  <c r="B23" i="5" s="1"/>
  <c r="H24" i="5"/>
  <c r="B24" i="5" s="1"/>
  <c r="H25" i="5"/>
  <c r="B25" i="5" s="1"/>
  <c r="H26" i="5"/>
  <c r="B26" i="5" s="1"/>
  <c r="H27" i="5"/>
  <c r="B27" i="5" s="1"/>
  <c r="H28" i="5"/>
  <c r="B28" i="5" s="1"/>
  <c r="H29" i="5"/>
  <c r="B29" i="5" s="1"/>
  <c r="H30" i="5"/>
  <c r="B30" i="5" s="1"/>
  <c r="H31" i="5"/>
  <c r="B31" i="5" s="1"/>
  <c r="H32" i="5"/>
  <c r="B32" i="5" s="1"/>
  <c r="H33" i="5"/>
  <c r="B33" i="5" s="1"/>
  <c r="H34" i="5"/>
  <c r="B34" i="5" s="1"/>
  <c r="H35" i="5"/>
  <c r="B35" i="5" s="1"/>
  <c r="H36" i="5"/>
  <c r="B36" i="5" s="1"/>
  <c r="H37" i="5"/>
  <c r="B37" i="5" s="1"/>
  <c r="H38" i="5"/>
  <c r="B38" i="5" s="1"/>
  <c r="H39" i="5"/>
  <c r="B39" i="5" s="1"/>
  <c r="H40" i="5"/>
  <c r="B40" i="5" s="1"/>
  <c r="H41" i="5"/>
  <c r="B41" i="5" s="1"/>
  <c r="H42" i="5"/>
  <c r="B42" i="5" s="1"/>
  <c r="H43" i="5"/>
  <c r="B43" i="5" s="1"/>
  <c r="H44" i="5"/>
  <c r="B44" i="5" s="1"/>
  <c r="H45" i="5"/>
  <c r="B45" i="5" s="1"/>
  <c r="H46" i="5"/>
  <c r="B46" i="5" s="1"/>
  <c r="H47" i="5"/>
  <c r="B47" i="5" s="1"/>
  <c r="H48" i="5"/>
  <c r="B48" i="5" s="1"/>
  <c r="H49" i="5"/>
  <c r="B49" i="5" s="1"/>
  <c r="H50" i="5"/>
  <c r="B50" i="5" s="1"/>
  <c r="H51" i="5"/>
  <c r="B51" i="5" s="1"/>
  <c r="H52" i="5"/>
  <c r="B52" i="5" s="1"/>
  <c r="H53" i="5"/>
  <c r="B53" i="5" s="1"/>
  <c r="H54" i="5"/>
  <c r="B54" i="5" s="1"/>
  <c r="H55" i="5"/>
  <c r="B55" i="5" s="1"/>
  <c r="H56" i="5"/>
  <c r="B56" i="5" s="1"/>
  <c r="H57" i="5"/>
  <c r="B57" i="5" s="1"/>
  <c r="H58" i="5"/>
  <c r="B58" i="5" s="1"/>
  <c r="H59" i="5"/>
  <c r="B59" i="5" s="1"/>
  <c r="H60" i="5"/>
  <c r="B60" i="5" s="1"/>
  <c r="H61" i="5"/>
  <c r="B61" i="5" s="1"/>
  <c r="H62" i="5"/>
  <c r="B62" i="5" s="1"/>
  <c r="H63" i="5"/>
  <c r="B63" i="5" s="1"/>
  <c r="H64" i="5"/>
  <c r="B64" i="5" s="1"/>
  <c r="H65" i="5"/>
  <c r="B65" i="5" s="1"/>
  <c r="H66" i="5"/>
  <c r="B66" i="5" s="1"/>
  <c r="H67" i="5"/>
  <c r="B67" i="5" s="1"/>
  <c r="H68" i="5"/>
  <c r="B68" i="5" s="1"/>
  <c r="H69" i="5"/>
  <c r="B69" i="5" s="1"/>
  <c r="H70" i="5"/>
  <c r="B70" i="5" s="1"/>
  <c r="H71" i="5"/>
  <c r="B71" i="5" s="1"/>
  <c r="H72" i="5"/>
  <c r="B72" i="5" s="1"/>
  <c r="H73" i="5"/>
  <c r="B73" i="5" s="1"/>
  <c r="H74" i="5"/>
  <c r="B74" i="5" s="1"/>
  <c r="H75" i="5"/>
  <c r="B75" i="5" s="1"/>
  <c r="H76" i="5"/>
  <c r="B76" i="5" s="1"/>
  <c r="H77" i="5"/>
  <c r="B77" i="5" s="1"/>
  <c r="H78" i="5"/>
  <c r="B78" i="5" s="1"/>
  <c r="H79" i="5"/>
  <c r="B79" i="5" s="1"/>
  <c r="H80" i="5"/>
  <c r="B80" i="5" s="1"/>
  <c r="H81" i="5"/>
  <c r="B81" i="5" s="1"/>
  <c r="H82" i="5"/>
  <c r="B82" i="5" s="1"/>
  <c r="H83" i="5"/>
  <c r="B83" i="5" s="1"/>
  <c r="H84" i="5"/>
  <c r="B84" i="5" s="1"/>
  <c r="H85" i="5"/>
  <c r="B85" i="5" s="1"/>
  <c r="H86" i="5"/>
  <c r="B86" i="5" s="1"/>
  <c r="H87" i="5"/>
  <c r="B87" i="5" s="1"/>
  <c r="H88" i="5"/>
  <c r="B88" i="5" s="1"/>
  <c r="H89" i="5"/>
  <c r="B89" i="5" s="1"/>
  <c r="H90" i="5"/>
  <c r="B90" i="5" s="1"/>
  <c r="H91" i="5"/>
  <c r="B91" i="5" s="1"/>
  <c r="H92" i="5"/>
  <c r="B92" i="5" s="1"/>
  <c r="H93" i="5"/>
  <c r="B93" i="5" s="1"/>
  <c r="H94" i="5"/>
  <c r="B94" i="5" s="1"/>
  <c r="H95" i="5"/>
  <c r="B95" i="5" s="1"/>
  <c r="H96" i="5"/>
  <c r="B96" i="5" s="1"/>
  <c r="H97" i="5"/>
  <c r="B97" i="5" s="1"/>
  <c r="H98" i="5"/>
  <c r="B98" i="5" s="1"/>
  <c r="H99" i="5"/>
  <c r="B99" i="5" s="1"/>
  <c r="H100" i="5"/>
  <c r="B100" i="5" s="1"/>
  <c r="H101" i="5"/>
  <c r="B101" i="5" s="1"/>
  <c r="H102" i="5"/>
  <c r="B102" i="5" s="1"/>
  <c r="H103" i="5"/>
  <c r="B103" i="5" s="1"/>
  <c r="H104" i="5"/>
  <c r="B104" i="5" s="1"/>
  <c r="H105" i="5"/>
  <c r="B105" i="5" s="1"/>
  <c r="H106" i="5"/>
  <c r="B106" i="5" s="1"/>
  <c r="H107" i="5"/>
  <c r="B107" i="5" s="1"/>
  <c r="H108" i="5"/>
  <c r="B108" i="5" s="1"/>
  <c r="H109" i="5"/>
  <c r="B109" i="5" s="1"/>
  <c r="H110" i="5"/>
  <c r="B110" i="5" s="1"/>
  <c r="H111" i="5"/>
  <c r="B111" i="5" s="1"/>
  <c r="H112" i="5"/>
  <c r="B112" i="5" s="1"/>
  <c r="H113" i="5"/>
  <c r="B113" i="5" s="1"/>
  <c r="H114" i="5"/>
  <c r="B114" i="5" s="1"/>
  <c r="H115" i="5"/>
  <c r="B115" i="5" s="1"/>
  <c r="H116" i="5"/>
  <c r="B116" i="5" s="1"/>
  <c r="H117" i="5"/>
  <c r="B117" i="5" s="1"/>
  <c r="H118" i="5"/>
  <c r="B118" i="5" s="1"/>
  <c r="H119" i="5"/>
  <c r="B119" i="5" s="1"/>
  <c r="H120" i="5"/>
  <c r="B120" i="5" s="1"/>
  <c r="H121" i="5"/>
  <c r="B121" i="5" s="1"/>
  <c r="H122" i="5"/>
  <c r="B122" i="5" s="1"/>
  <c r="H123" i="5"/>
  <c r="B123" i="5" s="1"/>
  <c r="H124" i="5"/>
  <c r="B124" i="5" s="1"/>
  <c r="H125" i="5"/>
  <c r="B125" i="5" s="1"/>
  <c r="H126" i="5"/>
  <c r="B126" i="5" s="1"/>
  <c r="H127" i="5"/>
  <c r="B127" i="5" s="1"/>
  <c r="H128" i="5"/>
  <c r="B128" i="5" s="1"/>
  <c r="H129" i="5"/>
  <c r="B129" i="5" s="1"/>
  <c r="H130" i="5"/>
  <c r="B130" i="5" s="1"/>
  <c r="H131" i="5"/>
  <c r="B131" i="5" s="1"/>
  <c r="H132" i="5"/>
  <c r="B132" i="5" s="1"/>
  <c r="H133" i="5"/>
  <c r="B133" i="5" s="1"/>
  <c r="H134" i="5"/>
  <c r="B134" i="5" s="1"/>
  <c r="H135" i="5"/>
  <c r="B135" i="5" s="1"/>
  <c r="H136" i="5"/>
  <c r="B136" i="5" s="1"/>
  <c r="H137" i="5"/>
  <c r="B137" i="5" s="1"/>
  <c r="H138" i="5"/>
  <c r="B138" i="5" s="1"/>
  <c r="H139" i="5"/>
  <c r="B139" i="5" s="1"/>
  <c r="H140" i="5"/>
  <c r="B140" i="5" s="1"/>
  <c r="H141" i="5"/>
  <c r="B141" i="5" s="1"/>
  <c r="H142" i="5"/>
  <c r="B142" i="5" s="1"/>
  <c r="H143" i="5"/>
  <c r="B143" i="5" s="1"/>
  <c r="H144" i="5"/>
  <c r="B144" i="5" s="1"/>
  <c r="H145" i="5"/>
  <c r="B145" i="5" s="1"/>
  <c r="H146" i="5"/>
  <c r="B146" i="5" s="1"/>
  <c r="H147" i="5"/>
  <c r="B147" i="5" s="1"/>
  <c r="H148" i="5"/>
  <c r="B148" i="5" s="1"/>
  <c r="H149" i="5"/>
  <c r="B149" i="5" s="1"/>
  <c r="H150" i="5"/>
  <c r="B150" i="5" s="1"/>
  <c r="H151" i="5"/>
  <c r="B151" i="5" s="1"/>
  <c r="H152" i="5"/>
  <c r="B152" i="5" s="1"/>
  <c r="H153" i="5"/>
  <c r="B153" i="5" s="1"/>
  <c r="H154" i="5"/>
  <c r="B154" i="5" s="1"/>
  <c r="H155" i="5"/>
  <c r="B155" i="5" s="1"/>
  <c r="H156" i="5"/>
  <c r="B156" i="5" s="1"/>
  <c r="H157" i="5"/>
  <c r="B157" i="5" s="1"/>
  <c r="H158" i="5"/>
  <c r="B158" i="5" s="1"/>
  <c r="H159" i="5"/>
  <c r="B159" i="5" s="1"/>
  <c r="H160" i="5"/>
  <c r="B160" i="5" s="1"/>
  <c r="H161" i="5"/>
  <c r="B161" i="5" s="1"/>
  <c r="H162" i="5"/>
  <c r="B162" i="5" s="1"/>
  <c r="H163" i="5"/>
  <c r="B163" i="5" s="1"/>
  <c r="H164" i="5"/>
  <c r="B164" i="5" s="1"/>
  <c r="H165" i="5"/>
  <c r="B165" i="5" s="1"/>
  <c r="H166" i="5"/>
  <c r="B166" i="5" s="1"/>
  <c r="H167" i="5"/>
  <c r="B167" i="5" s="1"/>
  <c r="H168" i="5"/>
  <c r="B168" i="5" s="1"/>
  <c r="H169" i="5"/>
  <c r="B169" i="5" s="1"/>
  <c r="H170" i="5"/>
  <c r="B170" i="5" s="1"/>
  <c r="H171" i="5"/>
  <c r="B171" i="5" s="1"/>
  <c r="H172" i="5"/>
  <c r="B172" i="5" s="1"/>
  <c r="H173" i="5"/>
  <c r="B173" i="5" s="1"/>
  <c r="H174" i="5"/>
  <c r="B174" i="5" s="1"/>
  <c r="H175" i="5"/>
  <c r="B175" i="5" s="1"/>
  <c r="H176" i="5"/>
  <c r="B176" i="5" s="1"/>
  <c r="H177" i="5"/>
  <c r="B177" i="5" s="1"/>
  <c r="H178" i="5"/>
  <c r="B178" i="5" s="1"/>
  <c r="H179" i="5"/>
  <c r="B179" i="5" s="1"/>
  <c r="H180" i="5"/>
  <c r="B180" i="5" s="1"/>
  <c r="H181" i="5"/>
  <c r="B181" i="5" s="1"/>
  <c r="H182" i="5"/>
  <c r="B182" i="5" s="1"/>
  <c r="H183" i="5"/>
  <c r="B183" i="5" s="1"/>
  <c r="H184" i="5"/>
  <c r="B184" i="5" s="1"/>
  <c r="H185" i="5"/>
  <c r="B185" i="5" s="1"/>
  <c r="H186" i="5"/>
  <c r="B186" i="5" s="1"/>
  <c r="H187" i="5"/>
  <c r="B187" i="5" s="1"/>
  <c r="H188" i="5"/>
  <c r="B188" i="5" s="1"/>
  <c r="H189" i="5"/>
  <c r="B189" i="5" s="1"/>
  <c r="H190" i="5"/>
  <c r="B190" i="5" s="1"/>
  <c r="H191" i="5"/>
  <c r="B191" i="5" s="1"/>
  <c r="H192" i="5"/>
  <c r="B192" i="5" s="1"/>
  <c r="H193" i="5"/>
  <c r="B193" i="5" s="1"/>
  <c r="H194" i="5"/>
  <c r="B194" i="5" s="1"/>
  <c r="H195" i="5"/>
  <c r="B195" i="5" s="1"/>
  <c r="H196" i="5"/>
  <c r="B196" i="5" s="1"/>
  <c r="H197" i="5"/>
  <c r="B197" i="5" s="1"/>
  <c r="H198" i="5"/>
  <c r="B198" i="5" s="1"/>
  <c r="H199" i="5"/>
  <c r="B199" i="5" s="1"/>
  <c r="H200" i="5"/>
  <c r="B200" i="5" s="1"/>
  <c r="H201" i="5"/>
  <c r="B201" i="5" s="1"/>
  <c r="H202" i="5"/>
  <c r="B202" i="5" s="1"/>
  <c r="H203" i="5"/>
  <c r="B203" i="5" s="1"/>
  <c r="H204" i="5"/>
  <c r="B204" i="5" s="1"/>
  <c r="H205" i="5"/>
  <c r="B205" i="5" s="1"/>
  <c r="H206" i="5"/>
  <c r="B206" i="5" s="1"/>
  <c r="H207" i="5"/>
  <c r="B207" i="5" s="1"/>
  <c r="H208" i="5"/>
  <c r="B208" i="5" s="1"/>
  <c r="H209" i="5"/>
  <c r="B209" i="5" s="1"/>
  <c r="H210" i="5"/>
  <c r="B210" i="5" s="1"/>
  <c r="H211" i="5"/>
  <c r="B211" i="5" s="1"/>
  <c r="H212" i="5"/>
  <c r="B212" i="5" s="1"/>
  <c r="H213" i="5"/>
  <c r="B213" i="5" s="1"/>
  <c r="H214" i="5"/>
  <c r="B214" i="5" s="1"/>
  <c r="H215" i="5"/>
  <c r="B215" i="5" s="1"/>
  <c r="H216" i="5"/>
  <c r="B216" i="5" s="1"/>
  <c r="H217" i="5"/>
  <c r="B217" i="5" s="1"/>
  <c r="H218" i="5"/>
  <c r="B218" i="5" s="1"/>
  <c r="H219" i="5"/>
  <c r="B219" i="5" s="1"/>
  <c r="H220" i="5"/>
  <c r="B220" i="5" s="1"/>
  <c r="H221" i="5"/>
  <c r="B221" i="5" s="1"/>
  <c r="H222" i="5"/>
  <c r="B222" i="5" s="1"/>
  <c r="H223" i="5"/>
  <c r="B223" i="5" s="1"/>
  <c r="H224" i="5"/>
  <c r="B224" i="5" s="1"/>
  <c r="H225" i="5"/>
  <c r="B225" i="5" s="1"/>
  <c r="H226" i="5"/>
  <c r="B226" i="5" s="1"/>
  <c r="H227" i="5"/>
  <c r="B227" i="5" s="1"/>
  <c r="H228" i="5"/>
  <c r="B228" i="5" s="1"/>
  <c r="H229" i="5"/>
  <c r="B229" i="5" s="1"/>
  <c r="H230" i="5"/>
  <c r="B230" i="5" s="1"/>
  <c r="H231" i="5"/>
  <c r="B231" i="5" s="1"/>
  <c r="H232" i="5"/>
  <c r="B232" i="5" s="1"/>
  <c r="H233" i="5"/>
  <c r="B233" i="5" s="1"/>
  <c r="H234" i="5"/>
  <c r="B234" i="5" s="1"/>
  <c r="H235" i="5"/>
  <c r="B235" i="5" s="1"/>
  <c r="H236" i="5"/>
  <c r="B236" i="5" s="1"/>
  <c r="H237" i="5"/>
  <c r="B237" i="5" s="1"/>
  <c r="H238" i="5"/>
  <c r="B238" i="5" s="1"/>
  <c r="H239" i="5"/>
  <c r="B239" i="5" s="1"/>
  <c r="H240" i="5"/>
  <c r="B240" i="5" s="1"/>
  <c r="H241" i="5"/>
  <c r="B241" i="5" s="1"/>
  <c r="H242" i="5"/>
  <c r="B242" i="5" s="1"/>
  <c r="H243" i="5"/>
  <c r="B243" i="5" s="1"/>
  <c r="H244" i="5"/>
  <c r="B244" i="5" s="1"/>
  <c r="H245" i="5"/>
  <c r="B245" i="5" s="1"/>
  <c r="H246" i="5"/>
  <c r="B246" i="5" s="1"/>
  <c r="H247" i="5"/>
  <c r="B247" i="5" s="1"/>
  <c r="H248" i="5"/>
  <c r="B248" i="5" s="1"/>
  <c r="H249" i="5"/>
  <c r="B249" i="5" s="1"/>
  <c r="H250" i="5"/>
  <c r="B250" i="5" s="1"/>
  <c r="H251" i="5"/>
  <c r="B251" i="5" s="1"/>
  <c r="H252" i="5"/>
  <c r="B252" i="5" s="1"/>
  <c r="H253" i="5"/>
  <c r="B253" i="5" s="1"/>
  <c r="H254" i="5"/>
  <c r="B254" i="5" s="1"/>
  <c r="H255" i="5"/>
  <c r="B255" i="5" s="1"/>
  <c r="H256" i="5"/>
  <c r="B256" i="5" s="1"/>
  <c r="H257" i="5"/>
  <c r="B257" i="5" s="1"/>
  <c r="H258" i="5"/>
  <c r="B258" i="5" s="1"/>
  <c r="H259" i="5"/>
  <c r="B259" i="5" s="1"/>
  <c r="H260" i="5"/>
  <c r="B260" i="5" s="1"/>
  <c r="H261" i="5"/>
  <c r="B261" i="5" s="1"/>
  <c r="H262" i="5"/>
  <c r="B262" i="5" s="1"/>
  <c r="H263" i="5"/>
  <c r="B263" i="5" s="1"/>
  <c r="H264" i="5"/>
  <c r="B264" i="5" s="1"/>
  <c r="H265" i="5"/>
  <c r="B265" i="5" s="1"/>
  <c r="H266" i="5"/>
  <c r="B266" i="5" s="1"/>
  <c r="H267" i="5"/>
  <c r="B267" i="5" s="1"/>
  <c r="H268" i="5"/>
  <c r="B268" i="5" s="1"/>
  <c r="H269" i="5"/>
  <c r="B269" i="5" s="1"/>
  <c r="H270" i="5"/>
  <c r="B270" i="5" s="1"/>
  <c r="H271" i="5"/>
  <c r="B271" i="5" s="1"/>
  <c r="H272" i="5"/>
  <c r="B272" i="5" s="1"/>
  <c r="H273" i="5"/>
  <c r="B273" i="5" s="1"/>
  <c r="H274" i="5"/>
  <c r="B274" i="5" s="1"/>
  <c r="H275" i="5"/>
  <c r="B275" i="5" s="1"/>
  <c r="H276" i="5"/>
  <c r="B276" i="5" s="1"/>
  <c r="H277" i="5"/>
  <c r="B277" i="5" s="1"/>
  <c r="H278" i="5"/>
  <c r="B278" i="5" s="1"/>
  <c r="H279" i="5"/>
  <c r="B279" i="5" s="1"/>
  <c r="H280" i="5"/>
  <c r="B280" i="5" s="1"/>
  <c r="H281" i="5"/>
  <c r="B281" i="5" s="1"/>
  <c r="H282" i="5"/>
  <c r="B282" i="5" s="1"/>
  <c r="H283" i="5"/>
  <c r="B283" i="5" s="1"/>
  <c r="H284" i="5"/>
  <c r="B284" i="5" s="1"/>
  <c r="H285" i="5"/>
  <c r="B285" i="5" s="1"/>
  <c r="H286" i="5"/>
  <c r="B286" i="5" s="1"/>
  <c r="H287" i="5"/>
  <c r="B287" i="5" s="1"/>
  <c r="H288" i="5"/>
  <c r="B288" i="5" s="1"/>
  <c r="H289" i="5"/>
  <c r="B289" i="5" s="1"/>
  <c r="H290" i="5"/>
  <c r="B290" i="5" s="1"/>
  <c r="H291" i="5"/>
  <c r="B291" i="5" s="1"/>
  <c r="H292" i="5"/>
  <c r="B292" i="5" s="1"/>
  <c r="H293" i="5"/>
  <c r="B293" i="5" s="1"/>
  <c r="H294" i="5"/>
  <c r="B294" i="5" s="1"/>
  <c r="H295" i="5"/>
  <c r="B295" i="5" s="1"/>
  <c r="H296" i="5"/>
  <c r="B296" i="5" s="1"/>
  <c r="H297" i="5"/>
  <c r="B297" i="5" s="1"/>
  <c r="H298" i="5"/>
  <c r="B298" i="5" s="1"/>
  <c r="H299" i="5"/>
  <c r="B299" i="5" s="1"/>
  <c r="H300" i="5"/>
  <c r="B300" i="5" s="1"/>
  <c r="H301" i="5"/>
  <c r="B301" i="5" s="1"/>
  <c r="H302" i="5"/>
  <c r="B302" i="5" s="1"/>
  <c r="H303" i="5"/>
  <c r="B303" i="5" s="1"/>
  <c r="H304" i="5"/>
  <c r="B304" i="5" s="1"/>
  <c r="H305" i="5"/>
  <c r="B305" i="5" s="1"/>
  <c r="H306" i="5"/>
  <c r="B306" i="5" s="1"/>
  <c r="H307" i="5"/>
  <c r="B307" i="5" s="1"/>
  <c r="H308" i="5"/>
  <c r="B308" i="5" s="1"/>
  <c r="H309" i="5"/>
  <c r="B309" i="5" s="1"/>
  <c r="H310" i="5"/>
  <c r="B310" i="5" s="1"/>
  <c r="H311" i="5"/>
  <c r="B311" i="5" s="1"/>
  <c r="H312" i="5"/>
  <c r="B312" i="5" s="1"/>
  <c r="H313" i="5"/>
  <c r="B313" i="5" s="1"/>
  <c r="H314" i="5"/>
  <c r="B314" i="5" s="1"/>
  <c r="H315" i="5"/>
  <c r="B315" i="5" s="1"/>
  <c r="H316" i="5"/>
  <c r="B316" i="5" s="1"/>
  <c r="H317" i="5"/>
  <c r="B317" i="5" s="1"/>
  <c r="H318" i="5"/>
  <c r="B318" i="5" s="1"/>
  <c r="H319" i="5"/>
  <c r="B319" i="5" s="1"/>
  <c r="H320" i="5"/>
  <c r="B320" i="5" s="1"/>
  <c r="H321" i="5"/>
  <c r="B321" i="5" s="1"/>
  <c r="H322" i="5"/>
  <c r="B322" i="5" s="1"/>
  <c r="H323" i="5"/>
  <c r="B323" i="5" s="1"/>
  <c r="H324" i="5"/>
  <c r="B324" i="5" s="1"/>
  <c r="H325" i="5"/>
  <c r="B325" i="5" s="1"/>
  <c r="H326" i="5"/>
  <c r="B326" i="5" s="1"/>
  <c r="H327" i="5"/>
  <c r="B327" i="5" s="1"/>
  <c r="H328" i="5"/>
  <c r="B328" i="5" s="1"/>
  <c r="H329" i="5"/>
  <c r="B329" i="5" s="1"/>
  <c r="H330" i="5"/>
  <c r="B330" i="5" s="1"/>
  <c r="H331" i="5"/>
  <c r="B331" i="5" s="1"/>
  <c r="H332" i="5"/>
  <c r="B332" i="5" s="1"/>
  <c r="H333" i="5"/>
  <c r="B333" i="5" s="1"/>
  <c r="H334" i="5"/>
  <c r="B334" i="5" s="1"/>
  <c r="H335" i="5"/>
  <c r="B335" i="5" s="1"/>
  <c r="H336" i="5"/>
  <c r="B336" i="5" s="1"/>
  <c r="H337" i="5"/>
  <c r="B337" i="5" s="1"/>
  <c r="H338" i="5"/>
  <c r="B338" i="5" s="1"/>
  <c r="H339" i="5"/>
  <c r="B339" i="5" s="1"/>
  <c r="H340" i="5"/>
  <c r="B340" i="5" s="1"/>
  <c r="H341" i="5"/>
  <c r="B341" i="5" s="1"/>
  <c r="H342" i="5"/>
  <c r="B342" i="5" s="1"/>
  <c r="H343" i="5"/>
  <c r="B343" i="5" s="1"/>
  <c r="H344" i="5"/>
  <c r="B344" i="5" s="1"/>
  <c r="H345" i="5"/>
  <c r="B345" i="5" s="1"/>
  <c r="H346" i="5"/>
  <c r="B346" i="5" s="1"/>
  <c r="H347" i="5"/>
  <c r="B347" i="5" s="1"/>
  <c r="H348" i="5"/>
  <c r="B348" i="5" s="1"/>
  <c r="H349" i="5"/>
  <c r="B349" i="5" s="1"/>
  <c r="H350" i="5"/>
  <c r="B350" i="5" s="1"/>
  <c r="H351" i="5"/>
  <c r="B351" i="5" s="1"/>
  <c r="H352" i="5"/>
  <c r="B352" i="5" s="1"/>
  <c r="H353" i="5"/>
  <c r="B353" i="5" s="1"/>
  <c r="H354" i="5"/>
  <c r="B354" i="5" s="1"/>
  <c r="H355" i="5"/>
  <c r="B355" i="5" s="1"/>
  <c r="H356" i="5"/>
  <c r="B356" i="5" s="1"/>
  <c r="H357" i="5"/>
  <c r="B357" i="5" s="1"/>
  <c r="H358" i="5"/>
  <c r="B358" i="5" s="1"/>
  <c r="H359" i="5"/>
  <c r="B359" i="5" s="1"/>
  <c r="H360" i="5"/>
  <c r="B360" i="5" s="1"/>
  <c r="H361" i="5"/>
  <c r="B361" i="5" s="1"/>
  <c r="H362" i="5"/>
  <c r="B362" i="5" s="1"/>
  <c r="H363" i="5"/>
  <c r="B363" i="5" s="1"/>
  <c r="H364" i="5"/>
  <c r="B364" i="5" s="1"/>
  <c r="H365" i="5"/>
  <c r="B365" i="5" s="1"/>
  <c r="H366" i="5"/>
  <c r="B366" i="5" s="1"/>
  <c r="H367" i="5"/>
  <c r="B367" i="5" s="1"/>
  <c r="H368" i="5"/>
  <c r="B368" i="5" s="1"/>
  <c r="H369" i="5"/>
  <c r="B369" i="5" s="1"/>
  <c r="H370" i="5"/>
  <c r="B370" i="5" s="1"/>
  <c r="H371" i="5"/>
  <c r="B371" i="5" s="1"/>
  <c r="H372" i="5"/>
  <c r="B372" i="5" s="1"/>
  <c r="H373" i="5"/>
  <c r="B373" i="5" s="1"/>
  <c r="H374" i="5"/>
  <c r="B374" i="5" s="1"/>
  <c r="H375" i="5"/>
  <c r="B375" i="5" s="1"/>
  <c r="H376" i="5"/>
  <c r="B376" i="5" s="1"/>
  <c r="H377" i="5"/>
  <c r="B377" i="5" s="1"/>
  <c r="H378" i="5"/>
  <c r="B378" i="5" s="1"/>
  <c r="H379" i="5"/>
  <c r="B379" i="5" s="1"/>
  <c r="H380" i="5"/>
  <c r="B380" i="5" s="1"/>
  <c r="H381" i="5"/>
  <c r="B381" i="5" s="1"/>
  <c r="H382" i="5"/>
  <c r="B382" i="5" s="1"/>
  <c r="H383" i="5"/>
  <c r="B383" i="5" s="1"/>
  <c r="H384" i="5"/>
  <c r="B384" i="5" s="1"/>
  <c r="H385" i="5"/>
  <c r="B385" i="5" s="1"/>
  <c r="H386" i="5"/>
  <c r="B386" i="5" s="1"/>
  <c r="H387" i="5"/>
  <c r="B387" i="5" s="1"/>
  <c r="H388" i="5"/>
  <c r="B388" i="5" s="1"/>
  <c r="H389" i="5"/>
  <c r="B389" i="5" s="1"/>
  <c r="H390" i="5"/>
  <c r="B390" i="5" s="1"/>
  <c r="H391" i="5"/>
  <c r="B391" i="5" s="1"/>
  <c r="H392" i="5"/>
  <c r="B392" i="5" s="1"/>
  <c r="H393" i="5"/>
  <c r="B393" i="5" s="1"/>
  <c r="H394" i="5"/>
  <c r="B394" i="5" s="1"/>
  <c r="H395" i="5"/>
  <c r="B395" i="5" s="1"/>
  <c r="H396" i="5"/>
  <c r="B396" i="5" s="1"/>
  <c r="H397" i="5"/>
  <c r="B397" i="5" s="1"/>
  <c r="H398" i="5"/>
  <c r="B398" i="5" s="1"/>
  <c r="H399" i="5"/>
  <c r="B399" i="5" s="1"/>
  <c r="H400" i="5"/>
  <c r="B400" i="5" s="1"/>
  <c r="H401" i="5"/>
  <c r="B401" i="5" s="1"/>
  <c r="H402" i="5"/>
  <c r="B402" i="5" s="1"/>
  <c r="H403" i="5"/>
  <c r="B403" i="5" s="1"/>
  <c r="H404" i="5"/>
  <c r="B404" i="5" s="1"/>
  <c r="H405" i="5"/>
  <c r="B405" i="5" s="1"/>
  <c r="H406" i="5"/>
  <c r="B406" i="5" s="1"/>
  <c r="H407" i="5"/>
  <c r="B407" i="5" s="1"/>
  <c r="H408" i="5"/>
  <c r="B408" i="5" s="1"/>
  <c r="H409" i="5"/>
  <c r="B409" i="5" s="1"/>
  <c r="H410" i="5"/>
  <c r="B410" i="5" s="1"/>
  <c r="H411" i="5"/>
  <c r="B411" i="5" s="1"/>
  <c r="H412" i="5"/>
  <c r="B412" i="5" s="1"/>
  <c r="H413" i="5"/>
  <c r="B413" i="5" s="1"/>
  <c r="H414" i="5"/>
  <c r="B414" i="5" s="1"/>
  <c r="H415" i="5"/>
  <c r="B415" i="5" s="1"/>
  <c r="H416" i="5"/>
  <c r="B416" i="5" s="1"/>
  <c r="H417" i="5"/>
  <c r="B417" i="5" s="1"/>
  <c r="H418" i="5"/>
  <c r="B418" i="5" s="1"/>
  <c r="H419" i="5"/>
  <c r="B419" i="5" s="1"/>
  <c r="H420" i="5"/>
  <c r="B420" i="5" s="1"/>
  <c r="H421" i="5"/>
  <c r="B421" i="5" s="1"/>
  <c r="H422" i="5"/>
  <c r="B422" i="5" s="1"/>
  <c r="H423" i="5"/>
  <c r="B423" i="5" s="1"/>
  <c r="H424" i="5"/>
  <c r="B424" i="5" s="1"/>
  <c r="H425" i="5"/>
  <c r="B425" i="5" s="1"/>
  <c r="H426" i="5"/>
  <c r="B426" i="5" s="1"/>
  <c r="H427" i="5"/>
  <c r="B427" i="5" s="1"/>
  <c r="H428" i="5"/>
  <c r="B428" i="5" s="1"/>
  <c r="H429" i="5"/>
  <c r="B429" i="5" s="1"/>
  <c r="H430" i="5"/>
  <c r="B430" i="5" s="1"/>
  <c r="H431" i="5"/>
  <c r="B431" i="5" s="1"/>
  <c r="H432" i="5"/>
  <c r="B432" i="5" s="1"/>
  <c r="H433" i="5"/>
  <c r="B433" i="5" s="1"/>
  <c r="H434" i="5"/>
  <c r="B434" i="5" s="1"/>
  <c r="H435" i="5"/>
  <c r="B435" i="5" s="1"/>
  <c r="H436" i="5"/>
  <c r="B436" i="5" s="1"/>
  <c r="H437" i="5"/>
  <c r="B437" i="5" s="1"/>
  <c r="H438" i="5"/>
  <c r="B438" i="5" s="1"/>
  <c r="H439" i="5"/>
  <c r="B439" i="5" s="1"/>
  <c r="H440" i="5"/>
  <c r="B440" i="5" s="1"/>
  <c r="H441" i="5"/>
  <c r="B441" i="5" s="1"/>
  <c r="H442" i="5"/>
  <c r="B442" i="5" s="1"/>
  <c r="H443" i="5"/>
  <c r="B443" i="5" s="1"/>
  <c r="H444" i="5"/>
  <c r="B444" i="5" s="1"/>
  <c r="H445" i="5"/>
  <c r="B445" i="5" s="1"/>
  <c r="H446" i="5"/>
  <c r="B446" i="5" s="1"/>
  <c r="H447" i="5"/>
  <c r="B447" i="5" s="1"/>
  <c r="H448" i="5"/>
  <c r="B448" i="5" s="1"/>
  <c r="H449" i="5"/>
  <c r="B449" i="5" s="1"/>
  <c r="H450" i="5"/>
  <c r="B450" i="5" s="1"/>
  <c r="H451" i="5"/>
  <c r="B451" i="5" s="1"/>
  <c r="H452" i="5"/>
  <c r="B452" i="5" s="1"/>
  <c r="H453" i="5"/>
  <c r="B453" i="5" s="1"/>
  <c r="H454" i="5"/>
  <c r="B454" i="5" s="1"/>
  <c r="H455" i="5"/>
  <c r="B455" i="5" s="1"/>
  <c r="H456" i="5"/>
  <c r="B456" i="5" s="1"/>
  <c r="H457" i="5"/>
  <c r="B457" i="5" s="1"/>
  <c r="H458" i="5"/>
  <c r="B458" i="5" s="1"/>
  <c r="H459" i="5"/>
  <c r="B459" i="5" s="1"/>
  <c r="H460" i="5"/>
  <c r="B460" i="5" s="1"/>
  <c r="H461" i="5"/>
  <c r="B461" i="5" s="1"/>
  <c r="H462" i="5"/>
  <c r="B462" i="5" s="1"/>
  <c r="H463" i="5"/>
  <c r="B463" i="5" s="1"/>
  <c r="H464" i="5"/>
  <c r="B464" i="5" s="1"/>
  <c r="H465" i="5"/>
  <c r="B465" i="5" s="1"/>
  <c r="H466" i="5"/>
  <c r="B466" i="5" s="1"/>
  <c r="H467" i="5"/>
  <c r="B467" i="5" s="1"/>
  <c r="H468" i="5"/>
  <c r="B468" i="5" s="1"/>
  <c r="H469" i="5"/>
  <c r="B469" i="5" s="1"/>
  <c r="H470" i="5"/>
  <c r="B470" i="5" s="1"/>
  <c r="H471" i="5"/>
  <c r="B471" i="5" s="1"/>
  <c r="H472" i="5"/>
  <c r="B472" i="5" s="1"/>
  <c r="H473" i="5"/>
  <c r="B473" i="5" s="1"/>
  <c r="H474" i="5"/>
  <c r="B474" i="5" s="1"/>
  <c r="H475" i="5"/>
  <c r="B475" i="5" s="1"/>
  <c r="H476" i="5"/>
  <c r="B476" i="5" s="1"/>
  <c r="H477" i="5"/>
  <c r="B477" i="5" s="1"/>
  <c r="H478" i="5"/>
  <c r="B478" i="5" s="1"/>
  <c r="H479" i="5"/>
  <c r="B479" i="5" s="1"/>
  <c r="H480" i="5"/>
  <c r="B480" i="5" s="1"/>
  <c r="H481" i="5"/>
  <c r="B481" i="5" s="1"/>
  <c r="H482" i="5"/>
  <c r="B482" i="5" s="1"/>
  <c r="H483" i="5"/>
  <c r="B483" i="5" s="1"/>
  <c r="H484" i="5"/>
  <c r="B484" i="5" s="1"/>
  <c r="H485" i="5"/>
  <c r="B485" i="5" s="1"/>
  <c r="H486" i="5"/>
  <c r="B486" i="5" s="1"/>
  <c r="H487" i="5"/>
  <c r="B487" i="5" s="1"/>
  <c r="H488" i="5"/>
  <c r="B488" i="5" s="1"/>
  <c r="H489" i="5"/>
  <c r="B489" i="5" s="1"/>
  <c r="H490" i="5"/>
  <c r="B490" i="5" s="1"/>
  <c r="H491" i="5"/>
  <c r="B491" i="5" s="1"/>
  <c r="H492" i="5"/>
  <c r="B492" i="5" s="1"/>
  <c r="H493" i="5"/>
  <c r="B493" i="5" s="1"/>
  <c r="H494" i="5"/>
  <c r="B494" i="5" s="1"/>
  <c r="H495" i="5"/>
  <c r="B495" i="5" s="1"/>
  <c r="H496" i="5"/>
  <c r="B496" i="5" s="1"/>
  <c r="H497" i="5"/>
  <c r="B497" i="5" s="1"/>
  <c r="H498" i="5"/>
  <c r="B498" i="5" s="1"/>
  <c r="H499" i="5"/>
  <c r="B499" i="5" s="1"/>
  <c r="H500" i="5"/>
  <c r="B500" i="5" s="1"/>
  <c r="H501" i="5"/>
  <c r="B501" i="5" s="1"/>
  <c r="H502" i="5"/>
  <c r="B502" i="5" s="1"/>
  <c r="H503" i="5"/>
  <c r="B503" i="5" s="1"/>
  <c r="H504" i="5"/>
  <c r="B504" i="5" s="1"/>
  <c r="H505" i="5"/>
  <c r="B505" i="5" s="1"/>
  <c r="H506" i="5"/>
  <c r="B506" i="5" s="1"/>
  <c r="H507" i="5"/>
  <c r="B507" i="5" s="1"/>
  <c r="H508" i="5"/>
  <c r="B508" i="5" s="1"/>
  <c r="H509" i="5"/>
  <c r="B509" i="5" s="1"/>
  <c r="H510" i="5"/>
  <c r="B510" i="5" s="1"/>
  <c r="H511" i="5"/>
  <c r="B511" i="5" s="1"/>
  <c r="H512" i="5"/>
  <c r="B512" i="5" s="1"/>
  <c r="H513" i="5"/>
  <c r="B513" i="5" s="1"/>
  <c r="H514" i="5"/>
  <c r="B514" i="5" s="1"/>
  <c r="H515" i="5"/>
  <c r="B515" i="5" s="1"/>
  <c r="H516" i="5"/>
  <c r="B516" i="5" s="1"/>
  <c r="H517" i="5"/>
  <c r="B517" i="5" s="1"/>
  <c r="H518" i="5"/>
  <c r="B518" i="5" s="1"/>
  <c r="H519" i="5"/>
  <c r="B519" i="5" s="1"/>
  <c r="H520" i="5"/>
  <c r="B520" i="5" s="1"/>
  <c r="H521" i="5"/>
  <c r="B521" i="5" s="1"/>
  <c r="H522" i="5"/>
  <c r="B522" i="5" s="1"/>
  <c r="H523" i="5"/>
  <c r="B523" i="5" s="1"/>
  <c r="H524" i="5"/>
  <c r="B524" i="5" s="1"/>
  <c r="H525" i="5"/>
  <c r="B525" i="5" s="1"/>
  <c r="H526" i="5"/>
  <c r="B526" i="5" s="1"/>
  <c r="H527" i="5"/>
  <c r="B527" i="5" s="1"/>
  <c r="H528" i="5"/>
  <c r="B528" i="5" s="1"/>
  <c r="H529" i="5"/>
  <c r="B529" i="5" s="1"/>
  <c r="H530" i="5"/>
  <c r="B530" i="5" s="1"/>
  <c r="H531" i="5"/>
  <c r="B531" i="5" s="1"/>
  <c r="H532" i="5"/>
  <c r="B532" i="5" s="1"/>
  <c r="H533" i="5"/>
  <c r="B533" i="5" s="1"/>
  <c r="H534" i="5"/>
  <c r="B534" i="5" s="1"/>
  <c r="H535" i="5"/>
  <c r="B535" i="5" s="1"/>
  <c r="H536" i="5"/>
  <c r="B536" i="5" s="1"/>
  <c r="H537" i="5"/>
  <c r="B537" i="5" s="1"/>
  <c r="H538" i="5"/>
  <c r="B538" i="5" s="1"/>
  <c r="H539" i="5"/>
  <c r="B539" i="5" s="1"/>
  <c r="H540" i="5"/>
  <c r="B540" i="5" s="1"/>
  <c r="H541" i="5"/>
  <c r="B541" i="5" s="1"/>
  <c r="H542" i="5"/>
  <c r="B542" i="5" s="1"/>
  <c r="H543" i="5"/>
  <c r="B543" i="5" s="1"/>
  <c r="H544" i="5"/>
  <c r="B544" i="5" s="1"/>
  <c r="H545" i="5"/>
  <c r="B545" i="5" s="1"/>
  <c r="H546" i="5"/>
  <c r="B546" i="5" s="1"/>
  <c r="H547" i="5"/>
  <c r="B547" i="5" s="1"/>
  <c r="H548" i="5"/>
  <c r="B548" i="5" s="1"/>
  <c r="H549" i="5"/>
  <c r="B549" i="5" s="1"/>
  <c r="H550" i="5"/>
  <c r="B550" i="5" s="1"/>
  <c r="H551" i="5"/>
  <c r="B551" i="5" s="1"/>
  <c r="H552" i="5"/>
  <c r="B552" i="5" s="1"/>
  <c r="H553" i="5"/>
  <c r="B553" i="5" s="1"/>
  <c r="H554" i="5"/>
  <c r="B554" i="5" s="1"/>
  <c r="H555" i="5"/>
  <c r="B555" i="5" s="1"/>
  <c r="H556" i="5"/>
  <c r="B556" i="5" s="1"/>
  <c r="H557" i="5"/>
  <c r="B557" i="5" s="1"/>
  <c r="H558" i="5"/>
  <c r="B558" i="5" s="1"/>
  <c r="H559" i="5"/>
  <c r="B559" i="5" s="1"/>
  <c r="H560" i="5"/>
  <c r="B560" i="5" s="1"/>
  <c r="H561" i="5"/>
  <c r="B561" i="5" s="1"/>
  <c r="H562" i="5"/>
  <c r="B562" i="5" s="1"/>
  <c r="H563" i="5"/>
  <c r="B563" i="5" s="1"/>
  <c r="H564" i="5"/>
  <c r="B564" i="5" s="1"/>
  <c r="H565" i="5"/>
  <c r="B565" i="5" s="1"/>
  <c r="H566" i="5"/>
  <c r="B566" i="5" s="1"/>
  <c r="H567" i="5"/>
  <c r="B567" i="5" s="1"/>
  <c r="H568" i="5"/>
  <c r="B568" i="5" s="1"/>
  <c r="H569" i="5"/>
  <c r="B569" i="5" s="1"/>
  <c r="H570" i="5"/>
  <c r="B570" i="5" s="1"/>
  <c r="H571" i="5"/>
  <c r="B571" i="5" s="1"/>
  <c r="H572" i="5"/>
  <c r="B572" i="5" s="1"/>
  <c r="H573" i="5"/>
  <c r="B573" i="5" s="1"/>
  <c r="H574" i="5"/>
  <c r="B574" i="5" s="1"/>
  <c r="H575" i="5"/>
  <c r="B575" i="5" s="1"/>
  <c r="H576" i="5"/>
  <c r="B576" i="5" s="1"/>
  <c r="H577" i="5"/>
  <c r="B577" i="5" s="1"/>
  <c r="H578" i="5"/>
  <c r="B578" i="5" s="1"/>
  <c r="H579" i="5"/>
  <c r="B579" i="5" s="1"/>
  <c r="H580" i="5"/>
  <c r="B580" i="5" s="1"/>
  <c r="H581" i="5"/>
  <c r="B581" i="5" s="1"/>
  <c r="H582" i="5"/>
  <c r="B582" i="5" s="1"/>
  <c r="H583" i="5"/>
  <c r="B583" i="5" s="1"/>
  <c r="H584" i="5"/>
  <c r="B584" i="5" s="1"/>
  <c r="H585" i="5"/>
  <c r="B585" i="5" s="1"/>
  <c r="H586" i="5"/>
  <c r="B586" i="5" s="1"/>
  <c r="H587" i="5"/>
  <c r="B587" i="5" s="1"/>
  <c r="H588" i="5"/>
  <c r="B588" i="5" s="1"/>
  <c r="H589" i="5"/>
  <c r="B589" i="5" s="1"/>
  <c r="H590" i="5"/>
  <c r="B590" i="5" s="1"/>
  <c r="H591" i="5"/>
  <c r="B591" i="5" s="1"/>
  <c r="H592" i="5"/>
  <c r="B592" i="5" s="1"/>
  <c r="H593" i="5"/>
  <c r="B593" i="5" s="1"/>
  <c r="H594" i="5"/>
  <c r="B594" i="5" s="1"/>
  <c r="H595" i="5"/>
  <c r="B595" i="5" s="1"/>
  <c r="H596" i="5"/>
  <c r="B596" i="5" s="1"/>
  <c r="H597" i="5"/>
  <c r="B597" i="5" s="1"/>
  <c r="H598" i="5"/>
  <c r="B598" i="5" s="1"/>
  <c r="H599" i="5"/>
  <c r="B599" i="5" s="1"/>
  <c r="H600" i="5"/>
  <c r="B600" i="5" s="1"/>
  <c r="H601" i="5"/>
  <c r="B601" i="5" s="1"/>
  <c r="H602" i="5"/>
  <c r="B602" i="5" s="1"/>
  <c r="H603" i="5"/>
  <c r="B603" i="5" s="1"/>
  <c r="H604" i="5"/>
  <c r="B604" i="5" s="1"/>
  <c r="H605" i="5"/>
  <c r="B605" i="5" s="1"/>
  <c r="H606" i="5"/>
  <c r="B606" i="5" s="1"/>
  <c r="H607" i="5"/>
  <c r="B607" i="5" s="1"/>
  <c r="H608" i="5"/>
  <c r="B608" i="5" s="1"/>
  <c r="H609" i="5"/>
  <c r="B609" i="5" s="1"/>
  <c r="H610" i="5"/>
  <c r="B610" i="5" s="1"/>
  <c r="H611" i="5"/>
  <c r="B611" i="5" s="1"/>
  <c r="H612" i="5"/>
  <c r="B612" i="5" s="1"/>
  <c r="H613" i="5"/>
  <c r="B613" i="5" s="1"/>
  <c r="H614" i="5"/>
  <c r="B614" i="5" s="1"/>
  <c r="H615" i="5"/>
  <c r="B615" i="5" s="1"/>
  <c r="H616" i="5"/>
  <c r="B616" i="5" s="1"/>
  <c r="H617" i="5"/>
  <c r="B617" i="5" s="1"/>
  <c r="H618" i="5"/>
  <c r="B618" i="5" s="1"/>
  <c r="H619" i="5"/>
  <c r="B619" i="5" s="1"/>
  <c r="H620" i="5"/>
  <c r="B620" i="5" s="1"/>
  <c r="H621" i="5"/>
  <c r="B621" i="5" s="1"/>
  <c r="H622" i="5"/>
  <c r="B622" i="5" s="1"/>
  <c r="H623" i="5"/>
  <c r="B623" i="5" s="1"/>
  <c r="H624" i="5"/>
  <c r="B624" i="5" s="1"/>
  <c r="H625" i="5"/>
  <c r="B625" i="5" s="1"/>
  <c r="H626" i="5"/>
  <c r="B626" i="5" s="1"/>
  <c r="H627" i="5"/>
  <c r="B627" i="5" s="1"/>
  <c r="H628" i="5"/>
  <c r="B628" i="5" s="1"/>
  <c r="H629" i="5"/>
  <c r="B629" i="5" s="1"/>
  <c r="H630" i="5"/>
  <c r="B630" i="5" s="1"/>
  <c r="H631" i="5"/>
  <c r="B631" i="5" s="1"/>
  <c r="H632" i="5"/>
  <c r="B632" i="5" s="1"/>
  <c r="H633" i="5"/>
  <c r="B633" i="5" s="1"/>
  <c r="H634" i="5"/>
  <c r="B634" i="5" s="1"/>
  <c r="H635" i="5"/>
  <c r="B635" i="5" s="1"/>
  <c r="H636" i="5"/>
  <c r="B636" i="5" s="1"/>
  <c r="H637" i="5"/>
  <c r="B637" i="5" s="1"/>
  <c r="H638" i="5"/>
  <c r="B638" i="5" s="1"/>
  <c r="H639" i="5"/>
  <c r="B639" i="5" s="1"/>
  <c r="H640" i="5"/>
  <c r="B640" i="5" s="1"/>
  <c r="H641" i="5"/>
  <c r="B641" i="5" s="1"/>
  <c r="H642" i="5"/>
  <c r="B642" i="5" s="1"/>
  <c r="H643" i="5"/>
  <c r="B643" i="5" s="1"/>
  <c r="H644" i="5"/>
  <c r="B644" i="5" s="1"/>
  <c r="H645" i="5"/>
  <c r="B645" i="5" s="1"/>
  <c r="H646" i="5"/>
  <c r="B646" i="5" s="1"/>
  <c r="H647" i="5"/>
  <c r="B647" i="5" s="1"/>
  <c r="H648" i="5"/>
  <c r="B648" i="5" s="1"/>
  <c r="H649" i="5"/>
  <c r="B649" i="5" s="1"/>
  <c r="H650" i="5"/>
  <c r="B650" i="5" s="1"/>
  <c r="H651" i="5"/>
  <c r="B651" i="5" s="1"/>
  <c r="H652" i="5"/>
  <c r="B652" i="5" s="1"/>
  <c r="H653" i="5"/>
  <c r="B653" i="5" s="1"/>
  <c r="H654" i="5"/>
  <c r="B654" i="5" s="1"/>
  <c r="H655" i="5"/>
  <c r="B655" i="5" s="1"/>
  <c r="H656" i="5"/>
  <c r="B656" i="5" s="1"/>
  <c r="H657" i="5"/>
  <c r="B657" i="5" s="1"/>
  <c r="H658" i="5"/>
  <c r="B658" i="5" s="1"/>
  <c r="H659" i="5"/>
  <c r="B659" i="5" s="1"/>
  <c r="H660" i="5"/>
  <c r="B660" i="5" s="1"/>
  <c r="H661" i="5"/>
  <c r="B661" i="5" s="1"/>
  <c r="H662" i="5"/>
  <c r="B662" i="5" s="1"/>
  <c r="H663" i="5"/>
  <c r="B663" i="5" s="1"/>
  <c r="H664" i="5"/>
  <c r="B664" i="5" s="1"/>
  <c r="H665" i="5"/>
  <c r="B665" i="5" s="1"/>
  <c r="H666" i="5"/>
  <c r="B666" i="5" s="1"/>
  <c r="H667" i="5"/>
  <c r="B667" i="5" s="1"/>
  <c r="H668" i="5"/>
  <c r="B668" i="5" s="1"/>
  <c r="H669" i="5"/>
  <c r="B669" i="5" s="1"/>
  <c r="H670" i="5"/>
  <c r="B670" i="5" s="1"/>
  <c r="H671" i="5"/>
  <c r="B671" i="5" s="1"/>
  <c r="H672" i="5"/>
  <c r="B672" i="5" s="1"/>
  <c r="H673" i="5"/>
  <c r="B673" i="5" s="1"/>
  <c r="H674" i="5"/>
  <c r="B674" i="5" s="1"/>
  <c r="H675" i="5"/>
  <c r="B675" i="5" s="1"/>
  <c r="H676" i="5"/>
  <c r="B676" i="5" s="1"/>
  <c r="H677" i="5"/>
  <c r="B677" i="5" s="1"/>
  <c r="H678" i="5"/>
  <c r="B678" i="5" s="1"/>
  <c r="H679" i="5"/>
  <c r="B679" i="5" s="1"/>
  <c r="H680" i="5"/>
  <c r="B680" i="5" s="1"/>
  <c r="H681" i="5"/>
  <c r="B681" i="5" s="1"/>
  <c r="H682" i="5"/>
  <c r="B682" i="5" s="1"/>
  <c r="H683" i="5"/>
  <c r="B683" i="5" s="1"/>
  <c r="H684" i="5"/>
  <c r="B684" i="5" s="1"/>
  <c r="H685" i="5"/>
  <c r="B685" i="5" s="1"/>
  <c r="H686" i="5"/>
  <c r="B686" i="5" s="1"/>
  <c r="H687" i="5"/>
  <c r="B687" i="5" s="1"/>
  <c r="H688" i="5"/>
  <c r="B688" i="5" s="1"/>
  <c r="H689" i="5"/>
  <c r="B689" i="5" s="1"/>
  <c r="H690" i="5"/>
  <c r="B690" i="5" s="1"/>
  <c r="H691" i="5"/>
  <c r="B691" i="5" s="1"/>
  <c r="H692" i="5"/>
  <c r="B692" i="5" s="1"/>
  <c r="H693" i="5"/>
  <c r="B693" i="5" s="1"/>
  <c r="H694" i="5"/>
  <c r="B694" i="5" s="1"/>
  <c r="H695" i="5"/>
  <c r="B695" i="5" s="1"/>
  <c r="H696" i="5"/>
  <c r="B696" i="5" s="1"/>
  <c r="H697" i="5"/>
  <c r="B697" i="5" s="1"/>
  <c r="H698" i="5"/>
  <c r="B698" i="5" s="1"/>
  <c r="H699" i="5"/>
  <c r="B699" i="5" s="1"/>
  <c r="H700" i="5"/>
  <c r="B700" i="5" s="1"/>
  <c r="H701" i="5"/>
  <c r="B701" i="5" s="1"/>
  <c r="H702" i="5"/>
  <c r="B702" i="5" s="1"/>
  <c r="H703" i="5"/>
  <c r="B703" i="5" s="1"/>
  <c r="H704" i="5"/>
  <c r="B704" i="5" s="1"/>
  <c r="H705" i="5"/>
  <c r="B705" i="5" s="1"/>
  <c r="H706" i="5"/>
  <c r="B706" i="5" s="1"/>
  <c r="H707" i="5"/>
  <c r="B707" i="5" s="1"/>
  <c r="H708" i="5"/>
  <c r="B708" i="5" s="1"/>
  <c r="H709" i="5"/>
  <c r="B709" i="5" s="1"/>
  <c r="H710" i="5"/>
  <c r="B710" i="5" s="1"/>
  <c r="H711" i="5"/>
  <c r="B711" i="5" s="1"/>
  <c r="H712" i="5"/>
  <c r="B712" i="5" s="1"/>
  <c r="H713" i="5"/>
  <c r="B713" i="5" s="1"/>
  <c r="H714" i="5"/>
  <c r="B714" i="5" s="1"/>
  <c r="H715" i="5"/>
  <c r="B715" i="5" s="1"/>
  <c r="H716" i="5"/>
  <c r="B716" i="5" s="1"/>
  <c r="H717" i="5"/>
  <c r="B717" i="5" s="1"/>
  <c r="H718" i="5"/>
  <c r="B718" i="5" s="1"/>
  <c r="H719" i="5"/>
  <c r="B719" i="5" s="1"/>
  <c r="H720" i="5"/>
  <c r="B720" i="5" s="1"/>
  <c r="H721" i="5"/>
  <c r="B721" i="5" s="1"/>
  <c r="H722" i="5"/>
  <c r="B722" i="5" s="1"/>
  <c r="H723" i="5"/>
  <c r="B723" i="5" s="1"/>
  <c r="H724" i="5"/>
  <c r="B724" i="5" s="1"/>
  <c r="H725" i="5"/>
  <c r="B725" i="5" s="1"/>
  <c r="H726" i="5"/>
  <c r="B726" i="5" s="1"/>
  <c r="H727" i="5"/>
  <c r="B727" i="5" s="1"/>
  <c r="H728" i="5"/>
  <c r="B728" i="5" s="1"/>
  <c r="H729" i="5"/>
  <c r="B729" i="5" s="1"/>
  <c r="H730" i="5"/>
  <c r="B730" i="5" s="1"/>
  <c r="H731" i="5"/>
  <c r="B731" i="5" s="1"/>
  <c r="H732" i="5"/>
  <c r="B732" i="5" s="1"/>
  <c r="H733" i="5"/>
  <c r="B733" i="5" s="1"/>
  <c r="H734" i="5"/>
  <c r="B734" i="5" s="1"/>
  <c r="H735" i="5"/>
  <c r="B735" i="5" s="1"/>
  <c r="H736" i="5"/>
  <c r="B736" i="5" s="1"/>
  <c r="H737" i="5"/>
  <c r="B737" i="5" s="1"/>
  <c r="H738" i="5"/>
  <c r="B738" i="5" s="1"/>
  <c r="H739" i="5"/>
  <c r="B739" i="5" s="1"/>
  <c r="H740" i="5"/>
  <c r="B740" i="5" s="1"/>
  <c r="H741" i="5"/>
  <c r="B741" i="5" s="1"/>
  <c r="H742" i="5"/>
  <c r="B742" i="5" s="1"/>
  <c r="H743" i="5"/>
  <c r="B743" i="5" s="1"/>
  <c r="H744" i="5"/>
  <c r="B744" i="5" s="1"/>
  <c r="H745" i="5"/>
  <c r="B745" i="5" s="1"/>
  <c r="H746" i="5"/>
  <c r="B746" i="5" s="1"/>
  <c r="H747" i="5"/>
  <c r="B747" i="5" s="1"/>
  <c r="H748" i="5"/>
  <c r="B748" i="5" s="1"/>
  <c r="H749" i="5"/>
  <c r="B749" i="5" s="1"/>
  <c r="H750" i="5"/>
  <c r="B750" i="5" s="1"/>
  <c r="H751" i="5"/>
  <c r="B751" i="5" s="1"/>
  <c r="H752" i="5"/>
  <c r="B752" i="5" s="1"/>
  <c r="H753" i="5"/>
  <c r="B753" i="5" s="1"/>
  <c r="H754" i="5"/>
  <c r="B754" i="5" s="1"/>
  <c r="H755" i="5"/>
  <c r="B755" i="5" s="1"/>
  <c r="H756" i="5"/>
  <c r="B756" i="5" s="1"/>
  <c r="H757" i="5"/>
  <c r="B757" i="5" s="1"/>
  <c r="H758" i="5"/>
  <c r="B758" i="5" s="1"/>
  <c r="H759" i="5"/>
  <c r="B759" i="5" s="1"/>
  <c r="H760" i="5"/>
  <c r="B760" i="5" s="1"/>
  <c r="H761" i="5"/>
  <c r="B761" i="5" s="1"/>
  <c r="H762" i="5"/>
  <c r="B762" i="5" s="1"/>
  <c r="H763" i="5"/>
  <c r="B763" i="5" s="1"/>
  <c r="H764" i="5"/>
  <c r="B764" i="5" s="1"/>
  <c r="H765" i="5"/>
  <c r="B765" i="5" s="1"/>
  <c r="H766" i="5"/>
  <c r="B766" i="5" s="1"/>
  <c r="H767" i="5"/>
  <c r="B767" i="5" s="1"/>
  <c r="H768" i="5"/>
  <c r="B768" i="5" s="1"/>
  <c r="H769" i="5"/>
  <c r="B769" i="5" s="1"/>
  <c r="H770" i="5"/>
  <c r="B770" i="5" s="1"/>
  <c r="H771" i="5"/>
  <c r="B771" i="5" s="1"/>
  <c r="H772" i="5"/>
  <c r="B772" i="5" s="1"/>
  <c r="H773" i="5"/>
  <c r="B773" i="5" s="1"/>
  <c r="H774" i="5"/>
  <c r="B774" i="5" s="1"/>
  <c r="H775" i="5"/>
  <c r="B775" i="5" s="1"/>
  <c r="H776" i="5"/>
  <c r="B776" i="5" s="1"/>
  <c r="H777" i="5"/>
  <c r="B777" i="5" s="1"/>
  <c r="H778" i="5"/>
  <c r="B778" i="5" s="1"/>
  <c r="H779" i="5"/>
  <c r="B779" i="5" s="1"/>
  <c r="H780" i="5"/>
  <c r="B780" i="5" s="1"/>
  <c r="H781" i="5"/>
  <c r="B781" i="5" s="1"/>
  <c r="H782" i="5"/>
  <c r="B782" i="5" s="1"/>
  <c r="H783" i="5"/>
  <c r="B783" i="5" s="1"/>
  <c r="H784" i="5"/>
  <c r="B784" i="5" s="1"/>
  <c r="H785" i="5"/>
  <c r="B785" i="5" s="1"/>
  <c r="H786" i="5"/>
  <c r="B786" i="5" s="1"/>
  <c r="H787" i="5"/>
  <c r="B787" i="5" s="1"/>
  <c r="H788" i="5"/>
  <c r="B788" i="5" s="1"/>
  <c r="H789" i="5"/>
  <c r="B789" i="5" s="1"/>
  <c r="H790" i="5"/>
  <c r="B790" i="5" s="1"/>
  <c r="H791" i="5"/>
  <c r="B791" i="5" s="1"/>
  <c r="H792" i="5"/>
  <c r="B792" i="5" s="1"/>
  <c r="H793" i="5"/>
  <c r="B793" i="5" s="1"/>
  <c r="H794" i="5"/>
  <c r="B794" i="5" s="1"/>
  <c r="H795" i="5"/>
  <c r="B795" i="5" s="1"/>
  <c r="H796" i="5"/>
  <c r="B796" i="5" s="1"/>
  <c r="H797" i="5"/>
  <c r="B797" i="5" s="1"/>
  <c r="H798" i="5"/>
  <c r="B798" i="5" s="1"/>
  <c r="H799" i="5"/>
  <c r="B799" i="5" s="1"/>
  <c r="H800" i="5"/>
  <c r="B800" i="5" s="1"/>
  <c r="H801" i="5"/>
  <c r="B801" i="5" s="1"/>
  <c r="H802" i="5"/>
  <c r="B802" i="5" s="1"/>
  <c r="H803" i="5"/>
  <c r="B803" i="5" s="1"/>
  <c r="H804" i="5"/>
  <c r="B804" i="5" s="1"/>
  <c r="H805" i="5"/>
  <c r="B805" i="5" s="1"/>
  <c r="H806" i="5"/>
  <c r="B806" i="5" s="1"/>
  <c r="H807" i="5"/>
  <c r="B807" i="5" s="1"/>
  <c r="H808" i="5"/>
  <c r="B808" i="5" s="1"/>
  <c r="H809" i="5"/>
  <c r="B809" i="5" s="1"/>
  <c r="H810" i="5"/>
  <c r="B810" i="5" s="1"/>
  <c r="H811" i="5"/>
  <c r="B811" i="5" s="1"/>
  <c r="H812" i="5"/>
  <c r="B812" i="5" s="1"/>
  <c r="H813" i="5"/>
  <c r="B813" i="5" s="1"/>
  <c r="H814" i="5"/>
  <c r="B814" i="5" s="1"/>
  <c r="H815" i="5"/>
  <c r="B815" i="5" s="1"/>
  <c r="H816" i="5"/>
  <c r="B816" i="5" s="1"/>
  <c r="H817" i="5"/>
  <c r="B817" i="5" s="1"/>
  <c r="H818" i="5"/>
  <c r="B818" i="5" s="1"/>
  <c r="H819" i="5"/>
  <c r="B819" i="5" s="1"/>
  <c r="H820" i="5"/>
  <c r="B820" i="5" s="1"/>
  <c r="H821" i="5"/>
  <c r="B821" i="5" s="1"/>
  <c r="H822" i="5"/>
  <c r="B822" i="5" s="1"/>
  <c r="H823" i="5"/>
  <c r="B823" i="5" s="1"/>
  <c r="H824" i="5"/>
  <c r="B824" i="5" s="1"/>
  <c r="H825" i="5"/>
  <c r="B825" i="5" s="1"/>
  <c r="H826" i="5"/>
  <c r="B826" i="5" s="1"/>
  <c r="H827" i="5"/>
  <c r="B827" i="5" s="1"/>
  <c r="H828" i="5"/>
  <c r="B828" i="5" s="1"/>
  <c r="H829" i="5"/>
  <c r="B829" i="5" s="1"/>
  <c r="H830" i="5"/>
  <c r="B830" i="5" s="1"/>
  <c r="H831" i="5"/>
  <c r="B831" i="5" s="1"/>
  <c r="H832" i="5"/>
  <c r="B832" i="5" s="1"/>
  <c r="H833" i="5"/>
  <c r="B833" i="5" s="1"/>
  <c r="H834" i="5"/>
  <c r="B834" i="5" s="1"/>
  <c r="H835" i="5"/>
  <c r="B835" i="5" s="1"/>
  <c r="H836" i="5"/>
  <c r="B836" i="5" s="1"/>
  <c r="H837" i="5"/>
  <c r="B837" i="5" s="1"/>
  <c r="H838" i="5"/>
  <c r="B838" i="5" s="1"/>
  <c r="H839" i="5"/>
  <c r="B839" i="5" s="1"/>
  <c r="H840" i="5"/>
  <c r="B840" i="5" s="1"/>
  <c r="H841" i="5"/>
  <c r="B841" i="5" s="1"/>
  <c r="H842" i="5"/>
  <c r="B842" i="5" s="1"/>
  <c r="H843" i="5"/>
  <c r="B843" i="5" s="1"/>
  <c r="H844" i="5"/>
  <c r="B844" i="5" s="1"/>
  <c r="H845" i="5"/>
  <c r="B845" i="5" s="1"/>
  <c r="H846" i="5"/>
  <c r="B846" i="5" s="1"/>
  <c r="H847" i="5"/>
  <c r="B847" i="5" s="1"/>
  <c r="H848" i="5"/>
  <c r="B848" i="5" s="1"/>
  <c r="H849" i="5"/>
  <c r="B849" i="5" s="1"/>
  <c r="H850" i="5"/>
  <c r="B850" i="5" s="1"/>
  <c r="H851" i="5"/>
  <c r="B851" i="5" s="1"/>
  <c r="H852" i="5"/>
  <c r="B852" i="5" s="1"/>
  <c r="H853" i="5"/>
  <c r="B853" i="5" s="1"/>
  <c r="H854" i="5"/>
  <c r="B854" i="5" s="1"/>
  <c r="H855" i="5"/>
  <c r="B855" i="5" s="1"/>
  <c r="H856" i="5"/>
  <c r="B856" i="5" s="1"/>
  <c r="H857" i="5"/>
  <c r="B857" i="5" s="1"/>
  <c r="H858" i="5"/>
  <c r="B858" i="5" s="1"/>
  <c r="H859" i="5"/>
  <c r="B859" i="5" s="1"/>
  <c r="H860" i="5"/>
  <c r="B860" i="5" s="1"/>
  <c r="H861" i="5"/>
  <c r="B861" i="5" s="1"/>
  <c r="H862" i="5"/>
  <c r="B862" i="5" s="1"/>
  <c r="H863" i="5"/>
  <c r="B863" i="5" s="1"/>
  <c r="H864" i="5"/>
  <c r="B864" i="5" s="1"/>
  <c r="H865" i="5"/>
  <c r="B865" i="5" s="1"/>
  <c r="H866" i="5"/>
  <c r="B866" i="5" s="1"/>
  <c r="H867" i="5"/>
  <c r="B867" i="5" s="1"/>
  <c r="H868" i="5"/>
  <c r="B868" i="5" s="1"/>
  <c r="H869" i="5"/>
  <c r="B869" i="5" s="1"/>
  <c r="H870" i="5"/>
  <c r="B870" i="5" s="1"/>
  <c r="H871" i="5"/>
  <c r="B871" i="5" s="1"/>
  <c r="H872" i="5"/>
  <c r="B872" i="5" s="1"/>
  <c r="H873" i="5"/>
  <c r="B873" i="5" s="1"/>
  <c r="H874" i="5"/>
  <c r="B874" i="5" s="1"/>
  <c r="H875" i="5"/>
  <c r="B875" i="5" s="1"/>
  <c r="H876" i="5"/>
  <c r="B876" i="5" s="1"/>
  <c r="H877" i="5"/>
  <c r="B877" i="5" s="1"/>
  <c r="H878" i="5"/>
  <c r="B878" i="5" s="1"/>
  <c r="H879" i="5"/>
  <c r="B879" i="5" s="1"/>
  <c r="H880" i="5"/>
  <c r="B880" i="5" s="1"/>
  <c r="H881" i="5"/>
  <c r="B881" i="5" s="1"/>
  <c r="H882" i="5"/>
  <c r="B882" i="5" s="1"/>
  <c r="H883" i="5"/>
  <c r="B883" i="5" s="1"/>
  <c r="H884" i="5"/>
  <c r="B884" i="5" s="1"/>
  <c r="H885" i="5"/>
  <c r="B885" i="5" s="1"/>
  <c r="H886" i="5"/>
  <c r="B886" i="5" s="1"/>
  <c r="H887" i="5"/>
  <c r="B887" i="5" s="1"/>
  <c r="H888" i="5"/>
  <c r="B888" i="5" s="1"/>
  <c r="H889" i="5"/>
  <c r="B889" i="5" s="1"/>
  <c r="H890" i="5"/>
  <c r="B890" i="5" s="1"/>
  <c r="H891" i="5"/>
  <c r="B891" i="5" s="1"/>
  <c r="H892" i="5"/>
  <c r="B892" i="5" s="1"/>
  <c r="H893" i="5"/>
  <c r="B893" i="5" s="1"/>
  <c r="H894" i="5"/>
  <c r="B894" i="5" s="1"/>
  <c r="H895" i="5"/>
  <c r="B895" i="5" s="1"/>
  <c r="H896" i="5"/>
  <c r="B896" i="5" s="1"/>
  <c r="H897" i="5"/>
  <c r="B897" i="5" s="1"/>
  <c r="H898" i="5"/>
  <c r="B898" i="5" s="1"/>
  <c r="H899" i="5"/>
  <c r="B899" i="5" s="1"/>
  <c r="H900" i="5"/>
  <c r="B900" i="5" s="1"/>
  <c r="H901" i="5"/>
  <c r="B901" i="5" s="1"/>
  <c r="H902" i="5"/>
  <c r="B902" i="5" s="1"/>
  <c r="H903" i="5"/>
  <c r="B903" i="5" s="1"/>
  <c r="H904" i="5"/>
  <c r="B904" i="5" s="1"/>
  <c r="H905" i="5"/>
  <c r="B905" i="5" s="1"/>
  <c r="H906" i="5"/>
  <c r="B906" i="5" s="1"/>
  <c r="H907" i="5"/>
  <c r="B907" i="5" s="1"/>
  <c r="H908" i="5"/>
  <c r="B908" i="5" s="1"/>
  <c r="H909" i="5"/>
  <c r="B909" i="5" s="1"/>
  <c r="H910" i="5"/>
  <c r="B910" i="5" s="1"/>
  <c r="H911" i="5"/>
  <c r="B911" i="5" s="1"/>
  <c r="H912" i="5"/>
  <c r="B912" i="5" s="1"/>
  <c r="H913" i="5"/>
  <c r="B913" i="5" s="1"/>
  <c r="H914" i="5"/>
  <c r="B914" i="5" s="1"/>
  <c r="H915" i="5"/>
  <c r="B915" i="5" s="1"/>
  <c r="H916" i="5"/>
  <c r="B916" i="5" s="1"/>
  <c r="H917" i="5"/>
  <c r="B917" i="5" s="1"/>
  <c r="H918" i="5"/>
  <c r="B918" i="5" s="1"/>
  <c r="H919" i="5"/>
  <c r="B919" i="5" s="1"/>
  <c r="H920" i="5"/>
  <c r="B920" i="5" s="1"/>
  <c r="H921" i="5"/>
  <c r="B921" i="5" s="1"/>
  <c r="H922" i="5"/>
  <c r="B922" i="5" s="1"/>
  <c r="H923" i="5"/>
  <c r="B923" i="5" s="1"/>
  <c r="H924" i="5"/>
  <c r="B924" i="5" s="1"/>
  <c r="H925" i="5"/>
  <c r="B925" i="5" s="1"/>
  <c r="H926" i="5"/>
  <c r="B926" i="5" s="1"/>
  <c r="H927" i="5"/>
  <c r="B927" i="5" s="1"/>
  <c r="H928" i="5"/>
  <c r="B928" i="5" s="1"/>
  <c r="H929" i="5"/>
  <c r="B929" i="5" s="1"/>
  <c r="H930" i="5"/>
  <c r="B930" i="5" s="1"/>
  <c r="H931" i="5"/>
  <c r="B931" i="5" s="1"/>
  <c r="H932" i="5"/>
  <c r="B932" i="5" s="1"/>
  <c r="H933" i="5"/>
  <c r="B933" i="5" s="1"/>
  <c r="H934" i="5"/>
  <c r="B934" i="5" s="1"/>
  <c r="H935" i="5"/>
  <c r="B935" i="5" s="1"/>
  <c r="H936" i="5"/>
  <c r="B936" i="5" s="1"/>
  <c r="H937" i="5"/>
  <c r="B937" i="5" s="1"/>
  <c r="H938" i="5"/>
  <c r="B938" i="5" s="1"/>
  <c r="H939" i="5"/>
  <c r="B939" i="5" s="1"/>
  <c r="H940" i="5"/>
  <c r="B940" i="5" s="1"/>
  <c r="H941" i="5"/>
  <c r="B941" i="5" s="1"/>
  <c r="H942" i="5"/>
  <c r="B942" i="5" s="1"/>
  <c r="H943" i="5"/>
  <c r="B943" i="5" s="1"/>
  <c r="H944" i="5"/>
  <c r="B944" i="5" s="1"/>
  <c r="H945" i="5"/>
  <c r="B945" i="5" s="1"/>
  <c r="H946" i="5"/>
  <c r="B946" i="5" s="1"/>
  <c r="H947" i="5"/>
  <c r="B947" i="5" s="1"/>
  <c r="H948" i="5"/>
  <c r="B948" i="5" s="1"/>
  <c r="H949" i="5"/>
  <c r="B949" i="5" s="1"/>
  <c r="H950" i="5"/>
  <c r="B950" i="5" s="1"/>
  <c r="H951" i="5"/>
  <c r="B951" i="5" s="1"/>
  <c r="H952" i="5"/>
  <c r="B952" i="5" s="1"/>
  <c r="H953" i="5"/>
  <c r="B953" i="5" s="1"/>
  <c r="H954" i="5"/>
  <c r="B954" i="5" s="1"/>
  <c r="H955" i="5"/>
  <c r="B955" i="5" s="1"/>
  <c r="H956" i="5"/>
  <c r="B956" i="5" s="1"/>
  <c r="H957" i="5"/>
  <c r="B957" i="5" s="1"/>
  <c r="H958" i="5"/>
  <c r="B958" i="5" s="1"/>
  <c r="H959" i="5"/>
  <c r="B959" i="5" s="1"/>
  <c r="H960" i="5"/>
  <c r="B960" i="5" s="1"/>
  <c r="H961" i="5"/>
  <c r="B961" i="5" s="1"/>
  <c r="H962" i="5"/>
  <c r="B962" i="5" s="1"/>
  <c r="H963" i="5"/>
  <c r="B963" i="5" s="1"/>
  <c r="H964" i="5"/>
  <c r="B964" i="5" s="1"/>
  <c r="H965" i="5"/>
  <c r="B965" i="5" s="1"/>
  <c r="H966" i="5"/>
  <c r="B966" i="5" s="1"/>
  <c r="H967" i="5"/>
  <c r="B967" i="5" s="1"/>
  <c r="H968" i="5"/>
  <c r="B968" i="5" s="1"/>
  <c r="H969" i="5"/>
  <c r="B969" i="5" s="1"/>
  <c r="H970" i="5"/>
  <c r="B970" i="5" s="1"/>
  <c r="H971" i="5"/>
  <c r="B971" i="5" s="1"/>
  <c r="H972" i="5"/>
  <c r="B972" i="5" s="1"/>
  <c r="H973" i="5"/>
  <c r="B973" i="5" s="1"/>
  <c r="H974" i="5"/>
  <c r="B974" i="5" s="1"/>
  <c r="H975" i="5"/>
  <c r="B975" i="5" s="1"/>
  <c r="H976" i="5"/>
  <c r="B976" i="5" s="1"/>
  <c r="H977" i="5"/>
  <c r="B977" i="5" s="1"/>
  <c r="H978" i="5"/>
  <c r="B978" i="5" s="1"/>
  <c r="H979" i="5"/>
  <c r="B979" i="5" s="1"/>
  <c r="H980" i="5"/>
  <c r="B980" i="5" s="1"/>
  <c r="H981" i="5"/>
  <c r="B981" i="5" s="1"/>
  <c r="H982" i="5"/>
  <c r="B982" i="5" s="1"/>
  <c r="H983" i="5"/>
  <c r="B983" i="5" s="1"/>
  <c r="H984" i="5"/>
  <c r="B984" i="5" s="1"/>
  <c r="H985" i="5"/>
  <c r="B985" i="5" s="1"/>
  <c r="H986" i="5"/>
  <c r="B986" i="5" s="1"/>
  <c r="H987" i="5"/>
  <c r="B987" i="5" s="1"/>
  <c r="H988" i="5"/>
  <c r="B988" i="5" s="1"/>
  <c r="H989" i="5"/>
  <c r="B989" i="5" s="1"/>
  <c r="H990" i="5"/>
  <c r="B990" i="5" s="1"/>
  <c r="H991" i="5"/>
  <c r="B991" i="5" s="1"/>
  <c r="H992" i="5"/>
  <c r="B992" i="5" s="1"/>
  <c r="H993" i="5"/>
  <c r="B993" i="5" s="1"/>
  <c r="H994" i="5"/>
  <c r="B994" i="5" s="1"/>
  <c r="H995" i="5"/>
  <c r="B995" i="5" s="1"/>
  <c r="H996" i="5"/>
  <c r="B996" i="5" s="1"/>
  <c r="H997" i="5"/>
  <c r="B997" i="5" s="1"/>
  <c r="H998" i="5"/>
  <c r="B998" i="5" s="1"/>
  <c r="H999" i="5"/>
  <c r="B999" i="5" s="1"/>
  <c r="H1000" i="5"/>
  <c r="B1000" i="5" s="1"/>
  <c r="H1001" i="5"/>
  <c r="B1001" i="5" s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E2" i="5" a="1"/>
  <c r="E2" i="5" s="1"/>
  <c r="E3" i="5" a="1"/>
  <c r="E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 s="1"/>
  <c r="E303" i="5" a="1"/>
  <c r="E303" i="5" s="1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 s="1"/>
  <c r="E340" i="5" a="1"/>
  <c r="E340" i="5" s="1"/>
  <c r="E341" i="5" a="1"/>
  <c r="E341" i="5" s="1"/>
  <c r="E342" i="5" a="1"/>
  <c r="E342" i="5" s="1"/>
  <c r="E343" i="5" a="1"/>
  <c r="E343" i="5" s="1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 s="1"/>
  <c r="E351" i="5" a="1"/>
  <c r="E351" i="5" s="1"/>
  <c r="E352" i="5" a="1"/>
  <c r="E352" i="5" s="1"/>
  <c r="E353" i="5" a="1"/>
  <c r="E353" i="5" s="1"/>
  <c r="E354" i="5" a="1"/>
  <c r="E354" i="5" s="1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 s="1"/>
  <c r="E380" i="5" a="1"/>
  <c r="E380" i="5" s="1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 s="1"/>
  <c r="E428" i="5" a="1"/>
  <c r="E428" i="5" s="1"/>
  <c r="E429" i="5" a="1"/>
  <c r="E429" i="5" s="1"/>
  <c r="E430" i="5" a="1"/>
  <c r="E430" i="5" s="1"/>
  <c r="E431" i="5" a="1"/>
  <c r="E431" i="5" s="1"/>
  <c r="E432" i="5" a="1"/>
  <c r="E432" i="5" s="1"/>
  <c r="E433" i="5" a="1"/>
  <c r="E433" i="5" s="1"/>
  <c r="E434" i="5" a="1"/>
  <c r="E434" i="5" s="1"/>
  <c r="E435" i="5" a="1"/>
  <c r="E435" i="5" s="1"/>
  <c r="E436" i="5" a="1"/>
  <c r="E436" i="5" s="1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 s="1"/>
  <c r="E459" i="5" a="1"/>
  <c r="E459" i="5" s="1"/>
  <c r="E460" i="5" a="1"/>
  <c r="E460" i="5" s="1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 s="1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 s="1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 s="1"/>
  <c r="E495" i="5" a="1"/>
  <c r="E495" i="5" s="1"/>
  <c r="E496" i="5" a="1"/>
  <c r="E496" i="5" s="1"/>
  <c r="E497" i="5" a="1"/>
  <c r="E497" i="5" s="1"/>
  <c r="E498" i="5" a="1"/>
  <c r="E498" i="5" s="1"/>
  <c r="E499" i="5" a="1"/>
  <c r="E499" i="5" s="1"/>
  <c r="E500" i="5" a="1"/>
  <c r="E500" i="5" s="1"/>
  <c r="E501" i="5" a="1"/>
  <c r="E501" i="5" s="1"/>
  <c r="E502" i="5" a="1"/>
  <c r="E502" i="5" s="1"/>
  <c r="E503" i="5" a="1"/>
  <c r="E503" i="5" s="1"/>
  <c r="E504" i="5" a="1"/>
  <c r="E504" i="5" s="1"/>
  <c r="E505" i="5" a="1"/>
  <c r="E505" i="5" s="1"/>
  <c r="E506" i="5" a="1"/>
  <c r="E506" i="5" s="1"/>
  <c r="E507" i="5" a="1"/>
  <c r="E507" i="5" s="1"/>
  <c r="E508" i="5" a="1"/>
  <c r="E508" i="5" s="1"/>
  <c r="E509" i="5" a="1"/>
  <c r="E509" i="5" s="1"/>
  <c r="E510" i="5" a="1"/>
  <c r="E510" i="5" s="1"/>
  <c r="E511" i="5" a="1"/>
  <c r="E511" i="5" s="1"/>
  <c r="E512" i="5" a="1"/>
  <c r="E512" i="5" s="1"/>
  <c r="E513" i="5" a="1"/>
  <c r="E513" i="5" s="1"/>
  <c r="E514" i="5" a="1"/>
  <c r="E514" i="5" s="1"/>
  <c r="E515" i="5" a="1"/>
  <c r="E515" i="5" s="1"/>
  <c r="E516" i="5" a="1"/>
  <c r="E516" i="5" s="1"/>
  <c r="E517" i="5" a="1"/>
  <c r="E517" i="5" s="1"/>
  <c r="E518" i="5" a="1"/>
  <c r="E518" i="5" s="1"/>
  <c r="E519" i="5" a="1"/>
  <c r="E519" i="5" s="1"/>
  <c r="E520" i="5" a="1"/>
  <c r="E520" i="5" s="1"/>
  <c r="E521" i="5" a="1"/>
  <c r="E521" i="5" s="1"/>
  <c r="E522" i="5" a="1"/>
  <c r="E522" i="5" s="1"/>
  <c r="E523" i="5" a="1"/>
  <c r="E523" i="5" s="1"/>
  <c r="E524" i="5" a="1"/>
  <c r="E524" i="5" s="1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 s="1"/>
  <c r="E531" i="5" a="1"/>
  <c r="E531" i="5" s="1"/>
  <c r="E532" i="5" a="1"/>
  <c r="E532" i="5" s="1"/>
  <c r="E533" i="5" a="1"/>
  <c r="E533" i="5" s="1"/>
  <c r="E534" i="5" a="1"/>
  <c r="E534" i="5" s="1"/>
  <c r="E535" i="5" a="1"/>
  <c r="E535" i="5" s="1"/>
  <c r="E536" i="5" a="1"/>
  <c r="E536" i="5" s="1"/>
  <c r="E537" i="5" a="1"/>
  <c r="E537" i="5" s="1"/>
  <c r="E538" i="5" a="1"/>
  <c r="E538" i="5" s="1"/>
  <c r="E539" i="5" a="1"/>
  <c r="E539" i="5" s="1"/>
  <c r="E540" i="5" a="1"/>
  <c r="E540" i="5" s="1"/>
  <c r="E541" i="5" a="1"/>
  <c r="E541" i="5" s="1"/>
  <c r="E542" i="5" a="1"/>
  <c r="E542" i="5" s="1"/>
  <c r="E543" i="5" a="1"/>
  <c r="E543" i="5" s="1"/>
  <c r="E544" i="5" a="1"/>
  <c r="E544" i="5" s="1"/>
  <c r="E545" i="5" a="1"/>
  <c r="E545" i="5" s="1"/>
  <c r="E546" i="5" a="1"/>
  <c r="E546" i="5" s="1"/>
  <c r="E547" i="5" a="1"/>
  <c r="E547" i="5" s="1"/>
  <c r="E548" i="5" a="1"/>
  <c r="E548" i="5" s="1"/>
  <c r="E549" i="5" a="1"/>
  <c r="E549" i="5" s="1"/>
  <c r="E550" i="5" a="1"/>
  <c r="E550" i="5" s="1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 s="1"/>
  <c r="E557" i="5" a="1"/>
  <c r="E557" i="5" s="1"/>
  <c r="E558" i="5" a="1"/>
  <c r="E558" i="5" s="1"/>
  <c r="E559" i="5" a="1"/>
  <c r="E559" i="5" s="1"/>
  <c r="E560" i="5" a="1"/>
  <c r="E560" i="5" s="1"/>
  <c r="E561" i="5" a="1"/>
  <c r="E561" i="5" s="1"/>
  <c r="E562" i="5" a="1"/>
  <c r="E562" i="5" s="1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 s="1"/>
  <c r="E569" i="5" a="1"/>
  <c r="E569" i="5" s="1"/>
  <c r="E570" i="5" a="1"/>
  <c r="E570" i="5" s="1"/>
  <c r="E571" i="5" a="1"/>
  <c r="E571" i="5" s="1"/>
  <c r="E572" i="5" a="1"/>
  <c r="E572" i="5" s="1"/>
  <c r="E573" i="5" a="1"/>
  <c r="E573" i="5" s="1"/>
  <c r="E574" i="5" a="1"/>
  <c r="E574" i="5" s="1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 s="1"/>
  <c r="E581" i="5" a="1"/>
  <c r="E581" i="5" s="1"/>
  <c r="E582" i="5" a="1"/>
  <c r="E582" i="5" s="1"/>
  <c r="E583" i="5" a="1"/>
  <c r="E583" i="5" s="1"/>
  <c r="E584" i="5" a="1"/>
  <c r="E584" i="5" s="1"/>
  <c r="E585" i="5" a="1"/>
  <c r="E585" i="5" s="1"/>
  <c r="E586" i="5" a="1"/>
  <c r="E586" i="5" s="1"/>
  <c r="E587" i="5" a="1"/>
  <c r="E587" i="5" s="1"/>
  <c r="E588" i="5" a="1"/>
  <c r="E588" i="5" s="1"/>
  <c r="E589" i="5" a="1"/>
  <c r="E589" i="5" s="1"/>
  <c r="E590" i="5" a="1"/>
  <c r="E590" i="5" s="1"/>
  <c r="E591" i="5" a="1"/>
  <c r="E591" i="5" s="1"/>
  <c r="E592" i="5" a="1"/>
  <c r="E592" i="5" s="1"/>
  <c r="E593" i="5" a="1"/>
  <c r="E593" i="5" s="1"/>
  <c r="E594" i="5" a="1"/>
  <c r="E594" i="5" s="1"/>
  <c r="E595" i="5" a="1"/>
  <c r="E595" i="5" s="1"/>
  <c r="E596" i="5" a="1"/>
  <c r="E596" i="5" s="1"/>
  <c r="E597" i="5" a="1"/>
  <c r="E597" i="5" s="1"/>
  <c r="E598" i="5" a="1"/>
  <c r="E598" i="5" s="1"/>
  <c r="E599" i="5" a="1"/>
  <c r="E599" i="5" s="1"/>
  <c r="E600" i="5" a="1"/>
  <c r="E600" i="5" s="1"/>
  <c r="E601" i="5" a="1"/>
  <c r="E601" i="5" s="1"/>
  <c r="E602" i="5" a="1"/>
  <c r="E602" i="5" s="1"/>
  <c r="E603" i="5" a="1"/>
  <c r="E603" i="5" s="1"/>
  <c r="E604" i="5" a="1"/>
  <c r="E604" i="5" s="1"/>
  <c r="E605" i="5" a="1"/>
  <c r="E605" i="5" s="1"/>
  <c r="E606" i="5" a="1"/>
  <c r="E606" i="5" s="1"/>
  <c r="E607" i="5" a="1"/>
  <c r="E607" i="5" s="1"/>
  <c r="E608" i="5" a="1"/>
  <c r="E608" i="5" s="1"/>
  <c r="E609" i="5" a="1"/>
  <c r="E609" i="5" s="1"/>
  <c r="E610" i="5" a="1"/>
  <c r="E610" i="5" s="1"/>
  <c r="E611" i="5" a="1"/>
  <c r="E611" i="5" s="1"/>
  <c r="E612" i="5" a="1"/>
  <c r="E612" i="5" s="1"/>
  <c r="E613" i="5" a="1"/>
  <c r="E613" i="5" s="1"/>
  <c r="E614" i="5" a="1"/>
  <c r="E614" i="5" s="1"/>
  <c r="E615" i="5" a="1"/>
  <c r="E615" i="5" s="1"/>
  <c r="E616" i="5" a="1"/>
  <c r="E616" i="5" s="1"/>
  <c r="E617" i="5" a="1"/>
  <c r="E617" i="5" s="1"/>
  <c r="E618" i="5" a="1"/>
  <c r="E618" i="5" s="1"/>
  <c r="E619" i="5" a="1"/>
  <c r="E619" i="5" s="1"/>
  <c r="E620" i="5" a="1"/>
  <c r="E620" i="5" s="1"/>
  <c r="E621" i="5" a="1"/>
  <c r="E621" i="5" s="1"/>
  <c r="E622" i="5" a="1"/>
  <c r="E622" i="5" s="1"/>
  <c r="E623" i="5" a="1"/>
  <c r="E623" i="5" s="1"/>
  <c r="E624" i="5" a="1"/>
  <c r="E624" i="5" s="1"/>
  <c r="E625" i="5" a="1"/>
  <c r="E625" i="5" s="1"/>
  <c r="E626" i="5" a="1"/>
  <c r="E626" i="5" s="1"/>
  <c r="E627" i="5" a="1"/>
  <c r="E627" i="5" s="1"/>
  <c r="E628" i="5" a="1"/>
  <c r="E628" i="5" s="1"/>
  <c r="E629" i="5" a="1"/>
  <c r="E629" i="5" s="1"/>
  <c r="E630" i="5" a="1"/>
  <c r="E630" i="5" s="1"/>
  <c r="E631" i="5" a="1"/>
  <c r="E631" i="5" s="1"/>
  <c r="E632" i="5" a="1"/>
  <c r="E632" i="5" s="1"/>
  <c r="E633" i="5" a="1"/>
  <c r="E633" i="5" s="1"/>
  <c r="E634" i="5" a="1"/>
  <c r="E634" i="5" s="1"/>
  <c r="E635" i="5" a="1"/>
  <c r="E635" i="5" s="1"/>
  <c r="E636" i="5" a="1"/>
  <c r="E636" i="5" s="1"/>
  <c r="E637" i="5" a="1"/>
  <c r="E637" i="5" s="1"/>
  <c r="E638" i="5" a="1"/>
  <c r="E638" i="5" s="1"/>
  <c r="E639" i="5" a="1"/>
  <c r="E639" i="5" s="1"/>
  <c r="E640" i="5" a="1"/>
  <c r="E640" i="5" s="1"/>
  <c r="E641" i="5" a="1"/>
  <c r="E641" i="5" s="1"/>
  <c r="E642" i="5" a="1"/>
  <c r="E642" i="5" s="1"/>
  <c r="E643" i="5" a="1"/>
  <c r="E643" i="5" s="1"/>
  <c r="E644" i="5" a="1"/>
  <c r="E644" i="5" s="1"/>
  <c r="E645" i="5" a="1"/>
  <c r="E645" i="5" s="1"/>
  <c r="E646" i="5" a="1"/>
  <c r="E646" i="5" s="1"/>
  <c r="E647" i="5" a="1"/>
  <c r="E647" i="5" s="1"/>
  <c r="E648" i="5" a="1"/>
  <c r="E648" i="5" s="1"/>
  <c r="E649" i="5" a="1"/>
  <c r="E649" i="5" s="1"/>
  <c r="E650" i="5" a="1"/>
  <c r="E650" i="5" s="1"/>
  <c r="E651" i="5" a="1"/>
  <c r="E651" i="5" s="1"/>
  <c r="E652" i="5" a="1"/>
  <c r="E652" i="5" s="1"/>
  <c r="E653" i="5" a="1"/>
  <c r="E653" i="5" s="1"/>
  <c r="E654" i="5" a="1"/>
  <c r="E654" i="5" s="1"/>
  <c r="E655" i="5" a="1"/>
  <c r="E655" i="5" s="1"/>
  <c r="E656" i="5" a="1"/>
  <c r="E656" i="5" s="1"/>
  <c r="E657" i="5" a="1"/>
  <c r="E657" i="5" s="1"/>
  <c r="E658" i="5" a="1"/>
  <c r="E658" i="5" s="1"/>
  <c r="E659" i="5" a="1"/>
  <c r="E659" i="5" s="1"/>
  <c r="E660" i="5" a="1"/>
  <c r="E660" i="5" s="1"/>
  <c r="E661" i="5" a="1"/>
  <c r="E661" i="5" s="1"/>
  <c r="E662" i="5" a="1"/>
  <c r="E662" i="5" s="1"/>
  <c r="E663" i="5" a="1"/>
  <c r="E663" i="5" s="1"/>
  <c r="E664" i="5" a="1"/>
  <c r="E664" i="5" s="1"/>
  <c r="E665" i="5" a="1"/>
  <c r="E665" i="5" s="1"/>
  <c r="E666" i="5" a="1"/>
  <c r="E666" i="5" s="1"/>
  <c r="E667" i="5" a="1"/>
  <c r="E667" i="5" s="1"/>
  <c r="E668" i="5" a="1"/>
  <c r="E668" i="5" s="1"/>
  <c r="E669" i="5" a="1"/>
  <c r="E669" i="5" s="1"/>
  <c r="E670" i="5" a="1"/>
  <c r="E670" i="5" s="1"/>
  <c r="E671" i="5" a="1"/>
  <c r="E671" i="5" s="1"/>
  <c r="E672" i="5" a="1"/>
  <c r="E672" i="5" s="1"/>
  <c r="E673" i="5" a="1"/>
  <c r="E673" i="5" s="1"/>
  <c r="E674" i="5" a="1"/>
  <c r="E674" i="5" s="1"/>
  <c r="E675" i="5" a="1"/>
  <c r="E675" i="5" s="1"/>
  <c r="E676" i="5" a="1"/>
  <c r="E676" i="5" s="1"/>
  <c r="E677" i="5" a="1"/>
  <c r="E677" i="5" s="1"/>
  <c r="E678" i="5" a="1"/>
  <c r="E678" i="5" s="1"/>
  <c r="E679" i="5" a="1"/>
  <c r="E679" i="5" s="1"/>
  <c r="E680" i="5" a="1"/>
  <c r="E680" i="5" s="1"/>
  <c r="E681" i="5" a="1"/>
  <c r="E681" i="5" s="1"/>
  <c r="E682" i="5" a="1"/>
  <c r="E682" i="5" s="1"/>
  <c r="E683" i="5" a="1"/>
  <c r="E683" i="5" s="1"/>
  <c r="E684" i="5" a="1"/>
  <c r="E684" i="5" s="1"/>
  <c r="E685" i="5" a="1"/>
  <c r="E685" i="5" s="1"/>
  <c r="E686" i="5" a="1"/>
  <c r="E686" i="5" s="1"/>
  <c r="E687" i="5" a="1"/>
  <c r="E687" i="5" s="1"/>
  <c r="E688" i="5" a="1"/>
  <c r="E688" i="5" s="1"/>
  <c r="E689" i="5" a="1"/>
  <c r="E689" i="5" s="1"/>
  <c r="E690" i="5" a="1"/>
  <c r="E690" i="5" s="1"/>
  <c r="E691" i="5" a="1"/>
  <c r="E691" i="5" s="1"/>
  <c r="E692" i="5" a="1"/>
  <c r="E692" i="5" s="1"/>
  <c r="E693" i="5" a="1"/>
  <c r="E693" i="5" s="1"/>
  <c r="E694" i="5" a="1"/>
  <c r="E694" i="5" s="1"/>
  <c r="E695" i="5" a="1"/>
  <c r="E695" i="5" s="1"/>
  <c r="E696" i="5" a="1"/>
  <c r="E696" i="5" s="1"/>
  <c r="E697" i="5" a="1"/>
  <c r="E697" i="5" s="1"/>
  <c r="E698" i="5" a="1"/>
  <c r="E698" i="5" s="1"/>
  <c r="E699" i="5" a="1"/>
  <c r="E699" i="5" s="1"/>
  <c r="E700" i="5" a="1"/>
  <c r="E700" i="5" s="1"/>
  <c r="E701" i="5" a="1"/>
  <c r="E701" i="5" s="1"/>
  <c r="E702" i="5" a="1"/>
  <c r="E702" i="5" s="1"/>
  <c r="E703" i="5" a="1"/>
  <c r="E703" i="5" s="1"/>
  <c r="E704" i="5" a="1"/>
  <c r="E704" i="5" s="1"/>
  <c r="E705" i="5" a="1"/>
  <c r="E705" i="5" s="1"/>
  <c r="E706" i="5" a="1"/>
  <c r="E706" i="5" s="1"/>
  <c r="E707" i="5" a="1"/>
  <c r="E707" i="5" s="1"/>
  <c r="E708" i="5" a="1"/>
  <c r="E708" i="5" s="1"/>
  <c r="E709" i="5" a="1"/>
  <c r="E709" i="5" s="1"/>
  <c r="E710" i="5" a="1"/>
  <c r="E710" i="5" s="1"/>
  <c r="E711" i="5" a="1"/>
  <c r="E711" i="5" s="1"/>
  <c r="E712" i="5" a="1"/>
  <c r="E712" i="5" s="1"/>
  <c r="E713" i="5" a="1"/>
  <c r="E713" i="5" s="1"/>
  <c r="E714" i="5" a="1"/>
  <c r="E714" i="5" s="1"/>
  <c r="E715" i="5" a="1"/>
  <c r="E715" i="5" s="1"/>
  <c r="E716" i="5" a="1"/>
  <c r="E716" i="5" s="1"/>
  <c r="E717" i="5" a="1"/>
  <c r="E717" i="5" s="1"/>
  <c r="E718" i="5" a="1"/>
  <c r="E718" i="5" s="1"/>
  <c r="E719" i="5" a="1"/>
  <c r="E719" i="5" s="1"/>
  <c r="E720" i="5" a="1"/>
  <c r="E720" i="5" s="1"/>
  <c r="E721" i="5" a="1"/>
  <c r="E721" i="5" s="1"/>
  <c r="E722" i="5" a="1"/>
  <c r="E722" i="5" s="1"/>
  <c r="E723" i="5" a="1"/>
  <c r="E723" i="5" s="1"/>
  <c r="E724" i="5" a="1"/>
  <c r="E724" i="5" s="1"/>
  <c r="E725" i="5" a="1"/>
  <c r="E725" i="5" s="1"/>
  <c r="E726" i="5" a="1"/>
  <c r="E726" i="5" s="1"/>
  <c r="E727" i="5" a="1"/>
  <c r="E727" i="5" s="1"/>
  <c r="E728" i="5" a="1"/>
  <c r="E728" i="5" s="1"/>
  <c r="E729" i="5" a="1"/>
  <c r="E729" i="5" s="1"/>
  <c r="E730" i="5" a="1"/>
  <c r="E730" i="5" s="1"/>
  <c r="E731" i="5" a="1"/>
  <c r="E731" i="5" s="1"/>
  <c r="E732" i="5" a="1"/>
  <c r="E732" i="5" s="1"/>
  <c r="E733" i="5" a="1"/>
  <c r="E733" i="5" s="1"/>
  <c r="E734" i="5" a="1"/>
  <c r="E734" i="5" s="1"/>
  <c r="E735" i="5" a="1"/>
  <c r="E735" i="5" s="1"/>
  <c r="E736" i="5" a="1"/>
  <c r="E736" i="5" s="1"/>
  <c r="E737" i="5" a="1"/>
  <c r="E737" i="5" s="1"/>
  <c r="E738" i="5" a="1"/>
  <c r="E738" i="5" s="1"/>
  <c r="E739" i="5" a="1"/>
  <c r="E739" i="5" s="1"/>
  <c r="E740" i="5" a="1"/>
  <c r="E740" i="5" s="1"/>
  <c r="E741" i="5" a="1"/>
  <c r="E741" i="5" s="1"/>
  <c r="E742" i="5" a="1"/>
  <c r="E742" i="5" s="1"/>
  <c r="E743" i="5" a="1"/>
  <c r="E743" i="5" s="1"/>
  <c r="E744" i="5" a="1"/>
  <c r="E744" i="5" s="1"/>
  <c r="E745" i="5" a="1"/>
  <c r="E745" i="5" s="1"/>
  <c r="E746" i="5" a="1"/>
  <c r="E746" i="5" s="1"/>
  <c r="E747" i="5" a="1"/>
  <c r="E747" i="5" s="1"/>
  <c r="E748" i="5" a="1"/>
  <c r="E748" i="5" s="1"/>
  <c r="E749" i="5" a="1"/>
  <c r="E749" i="5" s="1"/>
  <c r="E750" i="5" a="1"/>
  <c r="E750" i="5" s="1"/>
  <c r="E751" i="5" a="1"/>
  <c r="E751" i="5" s="1"/>
  <c r="E752" i="5" a="1"/>
  <c r="E752" i="5" s="1"/>
  <c r="E753" i="5" a="1"/>
  <c r="E753" i="5" s="1"/>
  <c r="E754" i="5" a="1"/>
  <c r="E754" i="5" s="1"/>
  <c r="E755" i="5" a="1"/>
  <c r="E755" i="5" s="1"/>
  <c r="E756" i="5" a="1"/>
  <c r="E756" i="5" s="1"/>
  <c r="E757" i="5" a="1"/>
  <c r="E757" i="5" s="1"/>
  <c r="E758" i="5" a="1"/>
  <c r="E758" i="5" s="1"/>
  <c r="E759" i="5" a="1"/>
  <c r="E759" i="5" s="1"/>
  <c r="E760" i="5" a="1"/>
  <c r="E760" i="5" s="1"/>
  <c r="E761" i="5" a="1"/>
  <c r="E761" i="5" s="1"/>
  <c r="E762" i="5" a="1"/>
  <c r="E762" i="5" s="1"/>
  <c r="E763" i="5" a="1"/>
  <c r="E763" i="5" s="1"/>
  <c r="E764" i="5" a="1"/>
  <c r="E764" i="5" s="1"/>
  <c r="E765" i="5" a="1"/>
  <c r="E765" i="5" s="1"/>
  <c r="E766" i="5" a="1"/>
  <c r="E766" i="5" s="1"/>
  <c r="E767" i="5" a="1"/>
  <c r="E767" i="5" s="1"/>
  <c r="E768" i="5" a="1"/>
  <c r="E768" i="5" s="1"/>
  <c r="E769" i="5" a="1"/>
  <c r="E769" i="5" s="1"/>
  <c r="E770" i="5" a="1"/>
  <c r="E770" i="5" s="1"/>
  <c r="E771" i="5" a="1"/>
  <c r="E771" i="5" s="1"/>
  <c r="E772" i="5" a="1"/>
  <c r="E772" i="5" s="1"/>
  <c r="E773" i="5" a="1"/>
  <c r="E773" i="5" s="1"/>
  <c r="E774" i="5" a="1"/>
  <c r="E774" i="5" s="1"/>
  <c r="E775" i="5" a="1"/>
  <c r="E775" i="5" s="1"/>
  <c r="E776" i="5" a="1"/>
  <c r="E776" i="5" s="1"/>
  <c r="E777" i="5" a="1"/>
  <c r="E777" i="5" s="1"/>
  <c r="E778" i="5" a="1"/>
  <c r="E778" i="5" s="1"/>
  <c r="E779" i="5" a="1"/>
  <c r="E779" i="5" s="1"/>
  <c r="E780" i="5" a="1"/>
  <c r="E780" i="5" s="1"/>
  <c r="E781" i="5" a="1"/>
  <c r="E781" i="5" s="1"/>
  <c r="E782" i="5" a="1"/>
  <c r="E782" i="5" s="1"/>
  <c r="E783" i="5" a="1"/>
  <c r="E783" i="5" s="1"/>
  <c r="E784" i="5" a="1"/>
  <c r="E784" i="5" s="1"/>
  <c r="E785" i="5" a="1"/>
  <c r="E785" i="5" s="1"/>
  <c r="E786" i="5" a="1"/>
  <c r="E786" i="5" s="1"/>
  <c r="E787" i="5" a="1"/>
  <c r="E787" i="5" s="1"/>
  <c r="E788" i="5" a="1"/>
  <c r="E788" i="5" s="1"/>
  <c r="E789" i="5" a="1"/>
  <c r="E789" i="5" s="1"/>
  <c r="E790" i="5" a="1"/>
  <c r="E790" i="5" s="1"/>
  <c r="E791" i="5" a="1"/>
  <c r="E791" i="5" s="1"/>
  <c r="E792" i="5" a="1"/>
  <c r="E792" i="5" s="1"/>
  <c r="E793" i="5" a="1"/>
  <c r="E793" i="5" s="1"/>
  <c r="E794" i="5" a="1"/>
  <c r="E794" i="5" s="1"/>
  <c r="E795" i="5" a="1"/>
  <c r="E795" i="5" s="1"/>
  <c r="E796" i="5" a="1"/>
  <c r="E796" i="5" s="1"/>
  <c r="E797" i="5" a="1"/>
  <c r="E797" i="5" s="1"/>
  <c r="E798" i="5" a="1"/>
  <c r="E798" i="5" s="1"/>
  <c r="E799" i="5" a="1"/>
  <c r="E799" i="5" s="1"/>
  <c r="E800" i="5" a="1"/>
  <c r="E800" i="5" s="1"/>
  <c r="E801" i="5" a="1"/>
  <c r="E801" i="5" s="1"/>
  <c r="E802" i="5" a="1"/>
  <c r="E802" i="5" s="1"/>
  <c r="E803" i="5" a="1"/>
  <c r="E803" i="5" s="1"/>
  <c r="E804" i="5" a="1"/>
  <c r="E804" i="5" s="1"/>
  <c r="E805" i="5" a="1"/>
  <c r="E805" i="5" s="1"/>
  <c r="E806" i="5" a="1"/>
  <c r="E806" i="5" s="1"/>
  <c r="E807" i="5" a="1"/>
  <c r="E807" i="5" s="1"/>
  <c r="E808" i="5" a="1"/>
  <c r="E808" i="5" s="1"/>
  <c r="E809" i="5" a="1"/>
  <c r="E809" i="5" s="1"/>
  <c r="E810" i="5" a="1"/>
  <c r="E810" i="5" s="1"/>
  <c r="E811" i="5" a="1"/>
  <c r="E811" i="5" s="1"/>
  <c r="E812" i="5" a="1"/>
  <c r="E812" i="5" s="1"/>
  <c r="E813" i="5" a="1"/>
  <c r="E813" i="5" s="1"/>
  <c r="E814" i="5" a="1"/>
  <c r="E814" i="5" s="1"/>
  <c r="E815" i="5" a="1"/>
  <c r="E815" i="5" s="1"/>
  <c r="E816" i="5" a="1"/>
  <c r="E816" i="5" s="1"/>
  <c r="E817" i="5" a="1"/>
  <c r="E817" i="5" s="1"/>
  <c r="E818" i="5" a="1"/>
  <c r="E818" i="5" s="1"/>
  <c r="E819" i="5" a="1"/>
  <c r="E819" i="5" s="1"/>
  <c r="E820" i="5" a="1"/>
  <c r="E820" i="5" s="1"/>
  <c r="E821" i="5" a="1"/>
  <c r="E821" i="5" s="1"/>
  <c r="E822" i="5" a="1"/>
  <c r="E822" i="5" s="1"/>
  <c r="E823" i="5" a="1"/>
  <c r="E823" i="5" s="1"/>
  <c r="E824" i="5" a="1"/>
  <c r="E824" i="5" s="1"/>
  <c r="E825" i="5" a="1"/>
  <c r="E825" i="5" s="1"/>
  <c r="E826" i="5" a="1"/>
  <c r="E826" i="5" s="1"/>
  <c r="E827" i="5" a="1"/>
  <c r="E827" i="5" s="1"/>
  <c r="E828" i="5" a="1"/>
  <c r="E828" i="5" s="1"/>
  <c r="E829" i="5" a="1"/>
  <c r="E829" i="5" s="1"/>
  <c r="E830" i="5" a="1"/>
  <c r="E830" i="5" s="1"/>
  <c r="E831" i="5" a="1"/>
  <c r="E831" i="5" s="1"/>
  <c r="E832" i="5" a="1"/>
  <c r="E832" i="5" s="1"/>
  <c r="E833" i="5" a="1"/>
  <c r="E833" i="5" s="1"/>
  <c r="E834" i="5" a="1"/>
  <c r="E834" i="5" s="1"/>
  <c r="E835" i="5" a="1"/>
  <c r="E835" i="5" s="1"/>
  <c r="E836" i="5" a="1"/>
  <c r="E836" i="5" s="1"/>
  <c r="E837" i="5" a="1"/>
  <c r="E837" i="5" s="1"/>
  <c r="E838" i="5" a="1"/>
  <c r="E838" i="5" s="1"/>
  <c r="E839" i="5" a="1"/>
  <c r="E839" i="5" s="1"/>
  <c r="E840" i="5" a="1"/>
  <c r="E840" i="5" s="1"/>
  <c r="E841" i="5" a="1"/>
  <c r="E841" i="5" s="1"/>
  <c r="E842" i="5" a="1"/>
  <c r="E842" i="5" s="1"/>
  <c r="E843" i="5" a="1"/>
  <c r="E843" i="5" s="1"/>
  <c r="E844" i="5" a="1"/>
  <c r="E844" i="5" s="1"/>
  <c r="E845" i="5" a="1"/>
  <c r="E845" i="5" s="1"/>
  <c r="E846" i="5" a="1"/>
  <c r="E846" i="5" s="1"/>
  <c r="E847" i="5" a="1"/>
  <c r="E847" i="5" s="1"/>
  <c r="E848" i="5" a="1"/>
  <c r="E848" i="5" s="1"/>
  <c r="E849" i="5" a="1"/>
  <c r="E849" i="5" s="1"/>
  <c r="E850" i="5" a="1"/>
  <c r="E850" i="5" s="1"/>
  <c r="E851" i="5" a="1"/>
  <c r="E851" i="5" s="1"/>
  <c r="E852" i="5" a="1"/>
  <c r="E852" i="5" s="1"/>
  <c r="E853" i="5" a="1"/>
  <c r="E853" i="5" s="1"/>
  <c r="E854" i="5" a="1"/>
  <c r="E854" i="5" s="1"/>
  <c r="E855" i="5" a="1"/>
  <c r="E855" i="5" s="1"/>
  <c r="E856" i="5" a="1"/>
  <c r="E856" i="5" s="1"/>
  <c r="E857" i="5" a="1"/>
  <c r="E857" i="5" s="1"/>
  <c r="E858" i="5" a="1"/>
  <c r="E858" i="5" s="1"/>
  <c r="E859" i="5" a="1"/>
  <c r="E859" i="5" s="1"/>
  <c r="E860" i="5" a="1"/>
  <c r="E860" i="5" s="1"/>
  <c r="E861" i="5" a="1"/>
  <c r="E861" i="5" s="1"/>
  <c r="E862" i="5" a="1"/>
  <c r="E862" i="5" s="1"/>
  <c r="E863" i="5" a="1"/>
  <c r="E863" i="5" s="1"/>
  <c r="E864" i="5" a="1"/>
  <c r="E864" i="5" s="1"/>
  <c r="E865" i="5" a="1"/>
  <c r="E865" i="5" s="1"/>
  <c r="E866" i="5" a="1"/>
  <c r="E866" i="5" s="1"/>
  <c r="E867" i="5" a="1"/>
  <c r="E867" i="5" s="1"/>
  <c r="E868" i="5" a="1"/>
  <c r="E868" i="5" s="1"/>
  <c r="E869" i="5" a="1"/>
  <c r="E869" i="5" s="1"/>
  <c r="E870" i="5" a="1"/>
  <c r="E870" i="5" s="1"/>
  <c r="E871" i="5" a="1"/>
  <c r="E871" i="5" s="1"/>
  <c r="E872" i="5" a="1"/>
  <c r="E872" i="5" s="1"/>
  <c r="E873" i="5" a="1"/>
  <c r="E873" i="5" s="1"/>
  <c r="E874" i="5" a="1"/>
  <c r="E874" i="5" s="1"/>
  <c r="E875" i="5" a="1"/>
  <c r="E875" i="5" s="1"/>
  <c r="E876" i="5" a="1"/>
  <c r="E876" i="5" s="1"/>
  <c r="E877" i="5" a="1"/>
  <c r="E877" i="5" s="1"/>
  <c r="E878" i="5" a="1"/>
  <c r="E878" i="5" s="1"/>
  <c r="E879" i="5" a="1"/>
  <c r="E879" i="5" s="1"/>
  <c r="E880" i="5" a="1"/>
  <c r="E880" i="5" s="1"/>
  <c r="E881" i="5" a="1"/>
  <c r="E881" i="5" s="1"/>
  <c r="E882" i="5" a="1"/>
  <c r="E882" i="5" s="1"/>
  <c r="E883" i="5" a="1"/>
  <c r="E883" i="5" s="1"/>
  <c r="E884" i="5" a="1"/>
  <c r="E884" i="5" s="1"/>
  <c r="E885" i="5" a="1"/>
  <c r="E885" i="5" s="1"/>
  <c r="E886" i="5" a="1"/>
  <c r="E886" i="5" s="1"/>
  <c r="E887" i="5" a="1"/>
  <c r="E887" i="5" s="1"/>
  <c r="E888" i="5" a="1"/>
  <c r="E888" i="5" s="1"/>
  <c r="E889" i="5" a="1"/>
  <c r="E889" i="5" s="1"/>
  <c r="E890" i="5" a="1"/>
  <c r="E890" i="5" s="1"/>
  <c r="E891" i="5" a="1"/>
  <c r="E891" i="5" s="1"/>
  <c r="E892" i="5" a="1"/>
  <c r="E892" i="5" s="1"/>
  <c r="E893" i="5" a="1"/>
  <c r="E893" i="5" s="1"/>
  <c r="E894" i="5" a="1"/>
  <c r="E894" i="5" s="1"/>
  <c r="E895" i="5" a="1"/>
  <c r="E895" i="5" s="1"/>
  <c r="E896" i="5" a="1"/>
  <c r="E896" i="5" s="1"/>
  <c r="E897" i="5" a="1"/>
  <c r="E897" i="5" s="1"/>
  <c r="E898" i="5" a="1"/>
  <c r="E898" i="5" s="1"/>
  <c r="E899" i="5" a="1"/>
  <c r="E899" i="5" s="1"/>
  <c r="E900" i="5" a="1"/>
  <c r="E900" i="5" s="1"/>
  <c r="E901" i="5" a="1"/>
  <c r="E901" i="5" s="1"/>
  <c r="E902" i="5" a="1"/>
  <c r="E902" i="5" s="1"/>
  <c r="E903" i="5" a="1"/>
  <c r="E903" i="5" s="1"/>
  <c r="E904" i="5" a="1"/>
  <c r="E904" i="5" s="1"/>
  <c r="E905" i="5" a="1"/>
  <c r="E905" i="5" s="1"/>
  <c r="E906" i="5" a="1"/>
  <c r="E906" i="5" s="1"/>
  <c r="E907" i="5" a="1"/>
  <c r="E907" i="5" s="1"/>
  <c r="E908" i="5" a="1"/>
  <c r="E908" i="5" s="1"/>
  <c r="E909" i="5" a="1"/>
  <c r="E909" i="5" s="1"/>
  <c r="E910" i="5" a="1"/>
  <c r="E910" i="5" s="1"/>
  <c r="E911" i="5" a="1"/>
  <c r="E911" i="5" s="1"/>
  <c r="E912" i="5" a="1"/>
  <c r="E912" i="5" s="1"/>
  <c r="E913" i="5" a="1"/>
  <c r="E913" i="5" s="1"/>
  <c r="E914" i="5" a="1"/>
  <c r="E914" i="5" s="1"/>
  <c r="E915" i="5" a="1"/>
  <c r="E915" i="5" s="1"/>
  <c r="E916" i="5" a="1"/>
  <c r="E916" i="5" s="1"/>
  <c r="E917" i="5" a="1"/>
  <c r="E917" i="5" s="1"/>
  <c r="E918" i="5" a="1"/>
  <c r="E918" i="5" s="1"/>
  <c r="E919" i="5" a="1"/>
  <c r="E919" i="5" s="1"/>
  <c r="E920" i="5" a="1"/>
  <c r="E920" i="5" s="1"/>
  <c r="E921" i="5" a="1"/>
  <c r="E921" i="5" s="1"/>
  <c r="E922" i="5" a="1"/>
  <c r="E922" i="5" s="1"/>
  <c r="E923" i="5" a="1"/>
  <c r="E923" i="5" s="1"/>
  <c r="E924" i="5" a="1"/>
  <c r="E924" i="5" s="1"/>
  <c r="E925" i="5" a="1"/>
  <c r="E925" i="5" s="1"/>
  <c r="E926" i="5" a="1"/>
  <c r="E926" i="5" s="1"/>
  <c r="E927" i="5" a="1"/>
  <c r="E927" i="5" s="1"/>
  <c r="E928" i="5" a="1"/>
  <c r="E928" i="5" s="1"/>
  <c r="E929" i="5" a="1"/>
  <c r="E929" i="5" s="1"/>
  <c r="E930" i="5" a="1"/>
  <c r="E930" i="5" s="1"/>
  <c r="E931" i="5" a="1"/>
  <c r="E931" i="5" s="1"/>
  <c r="E932" i="5" a="1"/>
  <c r="E932" i="5" s="1"/>
  <c r="E933" i="5" a="1"/>
  <c r="E933" i="5" s="1"/>
  <c r="E934" i="5" a="1"/>
  <c r="E934" i="5" s="1"/>
  <c r="E935" i="5" a="1"/>
  <c r="E935" i="5" s="1"/>
  <c r="E936" i="5" a="1"/>
  <c r="E936" i="5" s="1"/>
  <c r="E937" i="5" a="1"/>
  <c r="E937" i="5" s="1"/>
  <c r="E938" i="5" a="1"/>
  <c r="E938" i="5" s="1"/>
  <c r="E939" i="5" a="1"/>
  <c r="E939" i="5" s="1"/>
  <c r="E940" i="5" a="1"/>
  <c r="E940" i="5" s="1"/>
  <c r="E941" i="5" a="1"/>
  <c r="E941" i="5" s="1"/>
  <c r="E942" i="5" a="1"/>
  <c r="E942" i="5" s="1"/>
  <c r="E943" i="5" a="1"/>
  <c r="E943" i="5" s="1"/>
  <c r="E944" i="5" a="1"/>
  <c r="E944" i="5" s="1"/>
  <c r="E945" i="5" a="1"/>
  <c r="E945" i="5" s="1"/>
  <c r="E946" i="5" a="1"/>
  <c r="E946" i="5" s="1"/>
  <c r="E947" i="5" a="1"/>
  <c r="E947" i="5" s="1"/>
  <c r="E948" i="5" a="1"/>
  <c r="E948" i="5" s="1"/>
  <c r="E949" i="5" a="1"/>
  <c r="E949" i="5" s="1"/>
  <c r="E950" i="5" a="1"/>
  <c r="E950" i="5" s="1"/>
  <c r="E951" i="5" a="1"/>
  <c r="E951" i="5" s="1"/>
  <c r="E952" i="5" a="1"/>
  <c r="E952" i="5" s="1"/>
  <c r="E953" i="5" a="1"/>
  <c r="E953" i="5" s="1"/>
  <c r="E954" i="5" a="1"/>
  <c r="E954" i="5" s="1"/>
  <c r="E955" i="5" a="1"/>
  <c r="E955" i="5" s="1"/>
  <c r="E956" i="5" a="1"/>
  <c r="E956" i="5" s="1"/>
  <c r="E957" i="5" a="1"/>
  <c r="E957" i="5" s="1"/>
  <c r="E958" i="5" a="1"/>
  <c r="E958" i="5" s="1"/>
  <c r="E959" i="5" a="1"/>
  <c r="E959" i="5" s="1"/>
  <c r="E960" i="5" a="1"/>
  <c r="E960" i="5" s="1"/>
  <c r="E961" i="5" a="1"/>
  <c r="E961" i="5" s="1"/>
  <c r="E962" i="5" a="1"/>
  <c r="E962" i="5" s="1"/>
  <c r="E963" i="5" a="1"/>
  <c r="E963" i="5" s="1"/>
  <c r="E964" i="5" a="1"/>
  <c r="E964" i="5" s="1"/>
  <c r="E965" i="5" a="1"/>
  <c r="E965" i="5" s="1"/>
  <c r="E966" i="5" a="1"/>
  <c r="E966" i="5" s="1"/>
  <c r="E967" i="5" a="1"/>
  <c r="E967" i="5" s="1"/>
  <c r="E968" i="5" a="1"/>
  <c r="E968" i="5" s="1"/>
  <c r="E969" i="5" a="1"/>
  <c r="E969" i="5" s="1"/>
  <c r="E970" i="5" a="1"/>
  <c r="E970" i="5" s="1"/>
  <c r="E971" i="5" a="1"/>
  <c r="E971" i="5" s="1"/>
  <c r="E972" i="5" a="1"/>
  <c r="E972" i="5" s="1"/>
  <c r="E973" i="5" a="1"/>
  <c r="E973" i="5" s="1"/>
  <c r="E974" i="5" a="1"/>
  <c r="E974" i="5" s="1"/>
  <c r="E975" i="5" a="1"/>
  <c r="E975" i="5" s="1"/>
  <c r="E976" i="5" a="1"/>
  <c r="E976" i="5" s="1"/>
  <c r="E977" i="5" a="1"/>
  <c r="E977" i="5" s="1"/>
  <c r="E978" i="5" a="1"/>
  <c r="E978" i="5" s="1"/>
  <c r="E979" i="5" a="1"/>
  <c r="E979" i="5" s="1"/>
  <c r="E980" i="5" a="1"/>
  <c r="E980" i="5" s="1"/>
  <c r="E981" i="5" a="1"/>
  <c r="E981" i="5" s="1"/>
  <c r="E982" i="5" a="1"/>
  <c r="E982" i="5" s="1"/>
  <c r="E983" i="5" a="1"/>
  <c r="E983" i="5" s="1"/>
  <c r="E984" i="5" a="1"/>
  <c r="E984" i="5" s="1"/>
  <c r="E985" i="5" a="1"/>
  <c r="E985" i="5" s="1"/>
  <c r="E986" i="5" a="1"/>
  <c r="E986" i="5" s="1"/>
  <c r="E987" i="5" a="1"/>
  <c r="E987" i="5" s="1"/>
  <c r="E988" i="5" a="1"/>
  <c r="E988" i="5" s="1"/>
  <c r="E989" i="5" a="1"/>
  <c r="E989" i="5" s="1"/>
  <c r="E990" i="5" a="1"/>
  <c r="E990" i="5" s="1"/>
  <c r="E991" i="5" a="1"/>
  <c r="E991" i="5" s="1"/>
  <c r="E992" i="5" a="1"/>
  <c r="E992" i="5" s="1"/>
  <c r="E993" i="5" a="1"/>
  <c r="E993" i="5" s="1"/>
  <c r="E994" i="5" a="1"/>
  <c r="E994" i="5" s="1"/>
  <c r="E995" i="5" a="1"/>
  <c r="E995" i="5" s="1"/>
  <c r="E996" i="5" a="1"/>
  <c r="E996" i="5" s="1"/>
  <c r="E997" i="5" a="1"/>
  <c r="E997" i="5" s="1"/>
  <c r="E998" i="5" a="1"/>
  <c r="E998" i="5" s="1"/>
  <c r="E999" i="5" a="1"/>
  <c r="E999" i="5" s="1"/>
  <c r="E1000" i="5" a="1"/>
  <c r="E1000" i="5" s="1"/>
  <c r="E1001" i="5" a="1"/>
  <c r="E1001" i="5" s="1"/>
  <c r="D2" i="5" a="1"/>
  <c r="D2" i="5" s="1"/>
  <c r="G2" i="5" s="1"/>
  <c r="D3" i="5" a="1"/>
  <c r="D3" i="5" s="1"/>
  <c r="G3" i="5" s="1"/>
  <c r="D4" i="5" a="1"/>
  <c r="D4" i="5" s="1"/>
  <c r="G4" i="5" s="1"/>
  <c r="D5" i="5" a="1"/>
  <c r="D5" i="5" s="1"/>
  <c r="G5" i="5" s="1"/>
  <c r="D6" i="5" a="1"/>
  <c r="D6" i="5" s="1"/>
  <c r="G6" i="5" s="1"/>
  <c r="D7" i="5" a="1"/>
  <c r="D7" i="5" s="1"/>
  <c r="G7" i="5" s="1"/>
  <c r="D8" i="5" a="1"/>
  <c r="D8" i="5" s="1"/>
  <c r="G8" i="5" s="1"/>
  <c r="D9" i="5" a="1"/>
  <c r="D9" i="5" s="1"/>
  <c r="G9" i="5" s="1"/>
  <c r="D10" i="5" a="1"/>
  <c r="D10" i="5" s="1"/>
  <c r="G10" i="5" s="1"/>
  <c r="D11" i="5" a="1"/>
  <c r="D11" i="5" s="1"/>
  <c r="G11" i="5" s="1"/>
  <c r="D12" i="5" a="1"/>
  <c r="D12" i="5" s="1"/>
  <c r="G12" i="5" s="1"/>
  <c r="D13" i="5" a="1"/>
  <c r="D13" i="5" s="1"/>
  <c r="G13" i="5" s="1"/>
  <c r="D14" i="5" a="1"/>
  <c r="D14" i="5" s="1"/>
  <c r="G14" i="5" s="1"/>
  <c r="D15" i="5" a="1"/>
  <c r="D15" i="5" s="1"/>
  <c r="G15" i="5" s="1"/>
  <c r="D16" i="5" a="1"/>
  <c r="D16" i="5" s="1"/>
  <c r="G16" i="5" s="1"/>
  <c r="D17" i="5" a="1"/>
  <c r="D17" i="5" s="1"/>
  <c r="G17" i="5" s="1"/>
  <c r="D18" i="5" a="1"/>
  <c r="D18" i="5" s="1"/>
  <c r="G18" i="5" s="1"/>
  <c r="D19" i="5" a="1"/>
  <c r="D19" i="5" s="1"/>
  <c r="G19" i="5" s="1"/>
  <c r="D20" i="5" a="1"/>
  <c r="D20" i="5" s="1"/>
  <c r="G20" i="5" s="1"/>
  <c r="D21" i="5" a="1"/>
  <c r="D21" i="5" s="1"/>
  <c r="G21" i="5" s="1"/>
  <c r="D22" i="5" a="1"/>
  <c r="D22" i="5" s="1"/>
  <c r="G22" i="5" s="1"/>
  <c r="D23" i="5" a="1"/>
  <c r="D23" i="5" s="1"/>
  <c r="G23" i="5" s="1"/>
  <c r="D24" i="5" a="1"/>
  <c r="D24" i="5" s="1"/>
  <c r="G24" i="5" s="1"/>
  <c r="D25" i="5" a="1"/>
  <c r="D25" i="5" s="1"/>
  <c r="G25" i="5" s="1"/>
  <c r="D26" i="5" a="1"/>
  <c r="D26" i="5" s="1"/>
  <c r="G26" i="5" s="1"/>
  <c r="D27" i="5" a="1"/>
  <c r="D27" i="5" s="1"/>
  <c r="G27" i="5" s="1"/>
  <c r="D28" i="5" a="1"/>
  <c r="D28" i="5" s="1"/>
  <c r="G28" i="5" s="1"/>
  <c r="D29" i="5" a="1"/>
  <c r="D29" i="5" s="1"/>
  <c r="G29" i="5" s="1"/>
  <c r="D30" i="5" a="1"/>
  <c r="D30" i="5" s="1"/>
  <c r="G30" i="5" s="1"/>
  <c r="D31" i="5" a="1"/>
  <c r="D31" i="5" s="1"/>
  <c r="G31" i="5" s="1"/>
  <c r="D32" i="5" a="1"/>
  <c r="D32" i="5" s="1"/>
  <c r="G32" i="5" s="1"/>
  <c r="D33" i="5" a="1"/>
  <c r="D33" i="5" s="1"/>
  <c r="G33" i="5" s="1"/>
  <c r="D34" i="5" a="1"/>
  <c r="D34" i="5" s="1"/>
  <c r="G34" i="5" s="1"/>
  <c r="D35" i="5" a="1"/>
  <c r="D35" i="5" s="1"/>
  <c r="G35" i="5" s="1"/>
  <c r="D36" i="5" a="1"/>
  <c r="D36" i="5" s="1"/>
  <c r="G36" i="5" s="1"/>
  <c r="D37" i="5" a="1"/>
  <c r="D37" i="5" s="1"/>
  <c r="G37" i="5" s="1"/>
  <c r="D38" i="5" a="1"/>
  <c r="D38" i="5" s="1"/>
  <c r="G38" i="5" s="1"/>
  <c r="D39" i="5" a="1"/>
  <c r="D39" i="5" s="1"/>
  <c r="G39" i="5" s="1"/>
  <c r="D40" i="5" a="1"/>
  <c r="D40" i="5" s="1"/>
  <c r="G40" i="5" s="1"/>
  <c r="D41" i="5" a="1"/>
  <c r="D41" i="5" s="1"/>
  <c r="G41" i="5" s="1"/>
  <c r="D42" i="5" a="1"/>
  <c r="D42" i="5" s="1"/>
  <c r="G42" i="5" s="1"/>
  <c r="D43" i="5" a="1"/>
  <c r="D43" i="5" s="1"/>
  <c r="G43" i="5" s="1"/>
  <c r="D44" i="5" a="1"/>
  <c r="D44" i="5" s="1"/>
  <c r="G44" i="5" s="1"/>
  <c r="D45" i="5" a="1"/>
  <c r="D45" i="5" s="1"/>
  <c r="G45" i="5" s="1"/>
  <c r="D46" i="5" a="1"/>
  <c r="D46" i="5" s="1"/>
  <c r="G46" i="5" s="1"/>
  <c r="D47" i="5" a="1"/>
  <c r="D47" i="5" s="1"/>
  <c r="G47" i="5" s="1"/>
  <c r="D48" i="5" a="1"/>
  <c r="D48" i="5" s="1"/>
  <c r="G48" i="5" s="1"/>
  <c r="D49" i="5" a="1"/>
  <c r="D49" i="5" s="1"/>
  <c r="G49" i="5" s="1"/>
  <c r="D50" i="5" a="1"/>
  <c r="D50" i="5" s="1"/>
  <c r="G50" i="5" s="1"/>
  <c r="D51" i="5" a="1"/>
  <c r="D51" i="5" s="1"/>
  <c r="G51" i="5" s="1"/>
  <c r="D52" i="5" a="1"/>
  <c r="D52" i="5" s="1"/>
  <c r="G52" i="5" s="1"/>
  <c r="D53" i="5" a="1"/>
  <c r="D53" i="5" s="1"/>
  <c r="G53" i="5" s="1"/>
  <c r="D54" i="5" a="1"/>
  <c r="D54" i="5" s="1"/>
  <c r="G54" i="5" s="1"/>
  <c r="D55" i="5" a="1"/>
  <c r="D55" i="5" s="1"/>
  <c r="G55" i="5" s="1"/>
  <c r="D56" i="5" a="1"/>
  <c r="D56" i="5" s="1"/>
  <c r="G56" i="5" s="1"/>
  <c r="D57" i="5" a="1"/>
  <c r="D57" i="5" s="1"/>
  <c r="G57" i="5" s="1"/>
  <c r="D58" i="5" a="1"/>
  <c r="D58" i="5" s="1"/>
  <c r="G58" i="5" s="1"/>
  <c r="D59" i="5" a="1"/>
  <c r="D59" i="5" s="1"/>
  <c r="G59" i="5" s="1"/>
  <c r="D60" i="5" a="1"/>
  <c r="D60" i="5" s="1"/>
  <c r="G60" i="5" s="1"/>
  <c r="D61" i="5" a="1"/>
  <c r="D61" i="5" s="1"/>
  <c r="G61" i="5" s="1"/>
  <c r="D62" i="5" a="1"/>
  <c r="D62" i="5" s="1"/>
  <c r="G62" i="5" s="1"/>
  <c r="D63" i="5" a="1"/>
  <c r="D63" i="5" s="1"/>
  <c r="G63" i="5" s="1"/>
  <c r="D64" i="5" a="1"/>
  <c r="D64" i="5" s="1"/>
  <c r="G64" i="5" s="1"/>
  <c r="D65" i="5" a="1"/>
  <c r="D65" i="5" s="1"/>
  <c r="G65" i="5" s="1"/>
  <c r="D66" i="5" a="1"/>
  <c r="D66" i="5" s="1"/>
  <c r="G66" i="5" s="1"/>
  <c r="D67" i="5" a="1"/>
  <c r="D67" i="5" s="1"/>
  <c r="G67" i="5" s="1"/>
  <c r="D68" i="5" a="1"/>
  <c r="D68" i="5" s="1"/>
  <c r="G68" i="5" s="1"/>
  <c r="D69" i="5" a="1"/>
  <c r="D69" i="5" s="1"/>
  <c r="G69" i="5" s="1"/>
  <c r="D70" i="5" a="1"/>
  <c r="D70" i="5" s="1"/>
  <c r="G70" i="5" s="1"/>
  <c r="D71" i="5" a="1"/>
  <c r="D71" i="5" s="1"/>
  <c r="G71" i="5" s="1"/>
  <c r="D72" i="5" a="1"/>
  <c r="D72" i="5" s="1"/>
  <c r="G72" i="5" s="1"/>
  <c r="D73" i="5" a="1"/>
  <c r="D73" i="5" s="1"/>
  <c r="G73" i="5" s="1"/>
  <c r="D74" i="5" a="1"/>
  <c r="D74" i="5" s="1"/>
  <c r="G74" i="5" s="1"/>
  <c r="D75" i="5" a="1"/>
  <c r="D75" i="5" s="1"/>
  <c r="G75" i="5" s="1"/>
  <c r="D76" i="5" a="1"/>
  <c r="D76" i="5" s="1"/>
  <c r="G76" i="5" s="1"/>
  <c r="D77" i="5" a="1"/>
  <c r="D77" i="5" s="1"/>
  <c r="G77" i="5" s="1"/>
  <c r="D78" i="5" a="1"/>
  <c r="D78" i="5" s="1"/>
  <c r="G78" i="5" s="1"/>
  <c r="D79" i="5" a="1"/>
  <c r="D79" i="5" s="1"/>
  <c r="G79" i="5" s="1"/>
  <c r="D80" i="5" a="1"/>
  <c r="D80" i="5" s="1"/>
  <c r="G80" i="5" s="1"/>
  <c r="D81" i="5" a="1"/>
  <c r="D81" i="5" s="1"/>
  <c r="G81" i="5" s="1"/>
  <c r="D82" i="5" a="1"/>
  <c r="D82" i="5" s="1"/>
  <c r="G82" i="5" s="1"/>
  <c r="D83" i="5" a="1"/>
  <c r="D83" i="5" s="1"/>
  <c r="G83" i="5" s="1"/>
  <c r="D84" i="5" a="1"/>
  <c r="D84" i="5" s="1"/>
  <c r="G84" i="5" s="1"/>
  <c r="D85" i="5" a="1"/>
  <c r="D85" i="5" s="1"/>
  <c r="G85" i="5" s="1"/>
  <c r="D86" i="5" a="1"/>
  <c r="D86" i="5" s="1"/>
  <c r="G86" i="5" s="1"/>
  <c r="D87" i="5" a="1"/>
  <c r="D87" i="5" s="1"/>
  <c r="G87" i="5" s="1"/>
  <c r="D88" i="5" a="1"/>
  <c r="D88" i="5" s="1"/>
  <c r="G88" i="5" s="1"/>
  <c r="D89" i="5" a="1"/>
  <c r="D89" i="5" s="1"/>
  <c r="G89" i="5" s="1"/>
  <c r="D90" i="5" a="1"/>
  <c r="D90" i="5" s="1"/>
  <c r="G90" i="5" s="1"/>
  <c r="D91" i="5" a="1"/>
  <c r="D91" i="5" s="1"/>
  <c r="G91" i="5" s="1"/>
  <c r="D92" i="5" a="1"/>
  <c r="D92" i="5" s="1"/>
  <c r="G92" i="5" s="1"/>
  <c r="D93" i="5" a="1"/>
  <c r="D93" i="5" s="1"/>
  <c r="G93" i="5" s="1"/>
  <c r="D94" i="5" a="1"/>
  <c r="D94" i="5" s="1"/>
  <c r="G94" i="5" s="1"/>
  <c r="D95" i="5" a="1"/>
  <c r="D95" i="5" s="1"/>
  <c r="G95" i="5" s="1"/>
  <c r="D96" i="5" a="1"/>
  <c r="D96" i="5" s="1"/>
  <c r="G96" i="5" s="1"/>
  <c r="D97" i="5" a="1"/>
  <c r="D97" i="5" s="1"/>
  <c r="G97" i="5" s="1"/>
  <c r="D98" i="5" a="1"/>
  <c r="D98" i="5" s="1"/>
  <c r="G98" i="5" s="1"/>
  <c r="D99" i="5" a="1"/>
  <c r="D99" i="5" s="1"/>
  <c r="G99" i="5" s="1"/>
  <c r="D100" i="5" a="1"/>
  <c r="D100" i="5" s="1"/>
  <c r="G100" i="5" s="1"/>
  <c r="D101" i="5" a="1"/>
  <c r="D101" i="5" s="1"/>
  <c r="G101" i="5" s="1"/>
  <c r="D102" i="5" a="1"/>
  <c r="D102" i="5" s="1"/>
  <c r="G102" i="5" s="1"/>
  <c r="D103" i="5" a="1"/>
  <c r="D103" i="5" s="1"/>
  <c r="G103" i="5" s="1"/>
  <c r="D104" i="5" a="1"/>
  <c r="D104" i="5" s="1"/>
  <c r="G104" i="5" s="1"/>
  <c r="D105" i="5" a="1"/>
  <c r="D105" i="5" s="1"/>
  <c r="G105" i="5" s="1"/>
  <c r="D106" i="5" a="1"/>
  <c r="D106" i="5" s="1"/>
  <c r="G106" i="5" s="1"/>
  <c r="D107" i="5" a="1"/>
  <c r="D107" i="5" s="1"/>
  <c r="G107" i="5" s="1"/>
  <c r="D108" i="5" a="1"/>
  <c r="D108" i="5" s="1"/>
  <c r="G108" i="5" s="1"/>
  <c r="D109" i="5" a="1"/>
  <c r="D109" i="5" s="1"/>
  <c r="G109" i="5" s="1"/>
  <c r="D110" i="5" a="1"/>
  <c r="D110" i="5" s="1"/>
  <c r="G110" i="5" s="1"/>
  <c r="D111" i="5" a="1"/>
  <c r="D111" i="5" s="1"/>
  <c r="G111" i="5" s="1"/>
  <c r="D112" i="5" a="1"/>
  <c r="D112" i="5" s="1"/>
  <c r="G112" i="5" s="1"/>
  <c r="D113" i="5" a="1"/>
  <c r="D113" i="5" s="1"/>
  <c r="G113" i="5" s="1"/>
  <c r="D114" i="5" a="1"/>
  <c r="D114" i="5" s="1"/>
  <c r="G114" i="5" s="1"/>
  <c r="D115" i="5" a="1"/>
  <c r="D115" i="5" s="1"/>
  <c r="G115" i="5" s="1"/>
  <c r="D116" i="5" a="1"/>
  <c r="D116" i="5" s="1"/>
  <c r="G116" i="5" s="1"/>
  <c r="D117" i="5" a="1"/>
  <c r="D117" i="5" s="1"/>
  <c r="G117" i="5" s="1"/>
  <c r="D118" i="5" a="1"/>
  <c r="D118" i="5" s="1"/>
  <c r="G118" i="5" s="1"/>
  <c r="D119" i="5" a="1"/>
  <c r="D119" i="5" s="1"/>
  <c r="G119" i="5" s="1"/>
  <c r="D120" i="5" a="1"/>
  <c r="D120" i="5" s="1"/>
  <c r="G120" i="5" s="1"/>
  <c r="D121" i="5" a="1"/>
  <c r="D121" i="5" s="1"/>
  <c r="G121" i="5" s="1"/>
  <c r="D122" i="5" a="1"/>
  <c r="D122" i="5" s="1"/>
  <c r="G122" i="5" s="1"/>
  <c r="D123" i="5" a="1"/>
  <c r="D123" i="5" s="1"/>
  <c r="G123" i="5" s="1"/>
  <c r="D124" i="5" a="1"/>
  <c r="D124" i="5" s="1"/>
  <c r="G124" i="5" s="1"/>
  <c r="D125" i="5" a="1"/>
  <c r="D125" i="5" s="1"/>
  <c r="G125" i="5" s="1"/>
  <c r="D126" i="5" a="1"/>
  <c r="D126" i="5" s="1"/>
  <c r="G126" i="5" s="1"/>
  <c r="D127" i="5" a="1"/>
  <c r="D127" i="5" s="1"/>
  <c r="G127" i="5" s="1"/>
  <c r="D128" i="5" a="1"/>
  <c r="D128" i="5" s="1"/>
  <c r="G128" i="5" s="1"/>
  <c r="D129" i="5" a="1"/>
  <c r="D129" i="5" s="1"/>
  <c r="G129" i="5" s="1"/>
  <c r="D130" i="5" a="1"/>
  <c r="D130" i="5" s="1"/>
  <c r="G130" i="5" s="1"/>
  <c r="D131" i="5" a="1"/>
  <c r="D131" i="5" s="1"/>
  <c r="G131" i="5" s="1"/>
  <c r="D132" i="5" a="1"/>
  <c r="D132" i="5" s="1"/>
  <c r="G132" i="5" s="1"/>
  <c r="D133" i="5" a="1"/>
  <c r="D133" i="5" s="1"/>
  <c r="G133" i="5" s="1"/>
  <c r="D134" i="5" a="1"/>
  <c r="D134" i="5" s="1"/>
  <c r="G134" i="5" s="1"/>
  <c r="D135" i="5" a="1"/>
  <c r="D135" i="5" s="1"/>
  <c r="G135" i="5" s="1"/>
  <c r="D136" i="5" a="1"/>
  <c r="D136" i="5" s="1"/>
  <c r="G136" i="5" s="1"/>
  <c r="D137" i="5" a="1"/>
  <c r="D137" i="5" s="1"/>
  <c r="G137" i="5" s="1"/>
  <c r="D138" i="5" a="1"/>
  <c r="D138" i="5" s="1"/>
  <c r="G138" i="5" s="1"/>
  <c r="D139" i="5" a="1"/>
  <c r="D139" i="5" s="1"/>
  <c r="G139" i="5" s="1"/>
  <c r="D140" i="5" a="1"/>
  <c r="D140" i="5" s="1"/>
  <c r="G140" i="5" s="1"/>
  <c r="D141" i="5" a="1"/>
  <c r="D141" i="5" s="1"/>
  <c r="G141" i="5" s="1"/>
  <c r="D142" i="5" a="1"/>
  <c r="D142" i="5" s="1"/>
  <c r="G142" i="5" s="1"/>
  <c r="D143" i="5" a="1"/>
  <c r="D143" i="5" s="1"/>
  <c r="G143" i="5" s="1"/>
  <c r="D144" i="5" a="1"/>
  <c r="D144" i="5" s="1"/>
  <c r="G144" i="5" s="1"/>
  <c r="D145" i="5" a="1"/>
  <c r="D145" i="5" s="1"/>
  <c r="G145" i="5" s="1"/>
  <c r="D146" i="5" a="1"/>
  <c r="D146" i="5" s="1"/>
  <c r="G146" i="5" s="1"/>
  <c r="D147" i="5" a="1"/>
  <c r="D147" i="5" s="1"/>
  <c r="G147" i="5" s="1"/>
  <c r="D148" i="5" a="1"/>
  <c r="D148" i="5" s="1"/>
  <c r="G148" i="5" s="1"/>
  <c r="D149" i="5" a="1"/>
  <c r="D149" i="5" s="1"/>
  <c r="G149" i="5" s="1"/>
  <c r="D150" i="5" a="1"/>
  <c r="D150" i="5" s="1"/>
  <c r="G150" i="5" s="1"/>
  <c r="D151" i="5" a="1"/>
  <c r="D151" i="5" s="1"/>
  <c r="G151" i="5" s="1"/>
  <c r="D152" i="5" a="1"/>
  <c r="D152" i="5" s="1"/>
  <c r="G152" i="5" s="1"/>
  <c r="D153" i="5" a="1"/>
  <c r="D153" i="5" s="1"/>
  <c r="G153" i="5" s="1"/>
  <c r="D154" i="5" a="1"/>
  <c r="D154" i="5" s="1"/>
  <c r="G154" i="5" s="1"/>
  <c r="D155" i="5" a="1"/>
  <c r="D155" i="5" s="1"/>
  <c r="G155" i="5" s="1"/>
  <c r="D156" i="5" a="1"/>
  <c r="D156" i="5" s="1"/>
  <c r="G156" i="5" s="1"/>
  <c r="D157" i="5" a="1"/>
  <c r="D157" i="5" s="1"/>
  <c r="G157" i="5" s="1"/>
  <c r="D158" i="5" a="1"/>
  <c r="D158" i="5" s="1"/>
  <c r="G158" i="5" s="1"/>
  <c r="D159" i="5" a="1"/>
  <c r="D159" i="5" s="1"/>
  <c r="G159" i="5" s="1"/>
  <c r="D160" i="5" a="1"/>
  <c r="D160" i="5" s="1"/>
  <c r="G160" i="5" s="1"/>
  <c r="D161" i="5" a="1"/>
  <c r="D161" i="5" s="1"/>
  <c r="G161" i="5" s="1"/>
  <c r="D162" i="5" a="1"/>
  <c r="D162" i="5" s="1"/>
  <c r="G162" i="5" s="1"/>
  <c r="D163" i="5" a="1"/>
  <c r="D163" i="5" s="1"/>
  <c r="G163" i="5" s="1"/>
  <c r="D164" i="5" a="1"/>
  <c r="D164" i="5" s="1"/>
  <c r="G164" i="5" s="1"/>
  <c r="D165" i="5" a="1"/>
  <c r="D165" i="5" s="1"/>
  <c r="G165" i="5" s="1"/>
  <c r="D166" i="5" a="1"/>
  <c r="D166" i="5" s="1"/>
  <c r="G166" i="5" s="1"/>
  <c r="D167" i="5" a="1"/>
  <c r="D167" i="5" s="1"/>
  <c r="G167" i="5" s="1"/>
  <c r="D168" i="5" a="1"/>
  <c r="D168" i="5" s="1"/>
  <c r="G168" i="5" s="1"/>
  <c r="D169" i="5" a="1"/>
  <c r="D169" i="5" s="1"/>
  <c r="G169" i="5" s="1"/>
  <c r="D170" i="5" a="1"/>
  <c r="D170" i="5" s="1"/>
  <c r="G170" i="5" s="1"/>
  <c r="D171" i="5" a="1"/>
  <c r="D171" i="5" s="1"/>
  <c r="G171" i="5" s="1"/>
  <c r="D172" i="5" a="1"/>
  <c r="D172" i="5" s="1"/>
  <c r="G172" i="5" s="1"/>
  <c r="D173" i="5" a="1"/>
  <c r="D173" i="5" s="1"/>
  <c r="G173" i="5" s="1"/>
  <c r="D174" i="5" a="1"/>
  <c r="D174" i="5" s="1"/>
  <c r="G174" i="5" s="1"/>
  <c r="D175" i="5" a="1"/>
  <c r="D175" i="5" s="1"/>
  <c r="G175" i="5" s="1"/>
  <c r="D176" i="5" a="1"/>
  <c r="D176" i="5" s="1"/>
  <c r="G176" i="5" s="1"/>
  <c r="D177" i="5" a="1"/>
  <c r="D177" i="5" s="1"/>
  <c r="G177" i="5" s="1"/>
  <c r="D178" i="5" a="1"/>
  <c r="D178" i="5" s="1"/>
  <c r="G178" i="5" s="1"/>
  <c r="D179" i="5" a="1"/>
  <c r="D179" i="5" s="1"/>
  <c r="G179" i="5" s="1"/>
  <c r="D180" i="5" a="1"/>
  <c r="D180" i="5" s="1"/>
  <c r="G180" i="5" s="1"/>
  <c r="D181" i="5" a="1"/>
  <c r="D181" i="5" s="1"/>
  <c r="G181" i="5" s="1"/>
  <c r="D182" i="5" a="1"/>
  <c r="D182" i="5" s="1"/>
  <c r="G182" i="5" s="1"/>
  <c r="D183" i="5" a="1"/>
  <c r="D183" i="5" s="1"/>
  <c r="G183" i="5" s="1"/>
  <c r="D184" i="5" a="1"/>
  <c r="D184" i="5" s="1"/>
  <c r="G184" i="5" s="1"/>
  <c r="D185" i="5" a="1"/>
  <c r="D185" i="5" s="1"/>
  <c r="G185" i="5" s="1"/>
  <c r="D186" i="5" a="1"/>
  <c r="D186" i="5" s="1"/>
  <c r="G186" i="5" s="1"/>
  <c r="D187" i="5" a="1"/>
  <c r="D187" i="5" s="1"/>
  <c r="G187" i="5" s="1"/>
  <c r="D188" i="5" a="1"/>
  <c r="D188" i="5" s="1"/>
  <c r="G188" i="5" s="1"/>
  <c r="D189" i="5" a="1"/>
  <c r="D189" i="5" s="1"/>
  <c r="G189" i="5" s="1"/>
  <c r="D190" i="5" a="1"/>
  <c r="D190" i="5" s="1"/>
  <c r="G190" i="5" s="1"/>
  <c r="D191" i="5" a="1"/>
  <c r="D191" i="5" s="1"/>
  <c r="G191" i="5" s="1"/>
  <c r="D192" i="5" a="1"/>
  <c r="D192" i="5" s="1"/>
  <c r="G192" i="5" s="1"/>
  <c r="D193" i="5" a="1"/>
  <c r="D193" i="5" s="1"/>
  <c r="G193" i="5" s="1"/>
  <c r="D194" i="5" a="1"/>
  <c r="D194" i="5" s="1"/>
  <c r="G194" i="5" s="1"/>
  <c r="D195" i="5" a="1"/>
  <c r="D195" i="5" s="1"/>
  <c r="G195" i="5" s="1"/>
  <c r="D196" i="5" a="1"/>
  <c r="D196" i="5" s="1"/>
  <c r="G196" i="5" s="1"/>
  <c r="D197" i="5" a="1"/>
  <c r="D197" i="5" s="1"/>
  <c r="G197" i="5" s="1"/>
  <c r="D198" i="5" a="1"/>
  <c r="D198" i="5" s="1"/>
  <c r="G198" i="5" s="1"/>
  <c r="D199" i="5" a="1"/>
  <c r="D199" i="5" s="1"/>
  <c r="G199" i="5" s="1"/>
  <c r="D200" i="5" a="1"/>
  <c r="D200" i="5" s="1"/>
  <c r="G200" i="5" s="1"/>
  <c r="D201" i="5" a="1"/>
  <c r="D201" i="5" s="1"/>
  <c r="G201" i="5" s="1"/>
  <c r="D202" i="5" a="1"/>
  <c r="D202" i="5" s="1"/>
  <c r="G202" i="5" s="1"/>
  <c r="D203" i="5" a="1"/>
  <c r="D203" i="5" s="1"/>
  <c r="G203" i="5" s="1"/>
  <c r="D204" i="5" a="1"/>
  <c r="D204" i="5" s="1"/>
  <c r="G204" i="5" s="1"/>
  <c r="D205" i="5" a="1"/>
  <c r="D205" i="5" s="1"/>
  <c r="G205" i="5" s="1"/>
  <c r="D206" i="5" a="1"/>
  <c r="D206" i="5" s="1"/>
  <c r="G206" i="5" s="1"/>
  <c r="D207" i="5" a="1"/>
  <c r="D207" i="5" s="1"/>
  <c r="G207" i="5" s="1"/>
  <c r="D208" i="5" a="1"/>
  <c r="D208" i="5" s="1"/>
  <c r="G208" i="5" s="1"/>
  <c r="D209" i="5" a="1"/>
  <c r="D209" i="5" s="1"/>
  <c r="G209" i="5" s="1"/>
  <c r="D210" i="5" a="1"/>
  <c r="D210" i="5" s="1"/>
  <c r="G210" i="5" s="1"/>
  <c r="D211" i="5" a="1"/>
  <c r="D211" i="5" s="1"/>
  <c r="G211" i="5" s="1"/>
  <c r="D212" i="5" a="1"/>
  <c r="D212" i="5" s="1"/>
  <c r="G212" i="5" s="1"/>
  <c r="D213" i="5" a="1"/>
  <c r="D213" i="5" s="1"/>
  <c r="G213" i="5" s="1"/>
  <c r="D214" i="5" a="1"/>
  <c r="D214" i="5" s="1"/>
  <c r="G214" i="5" s="1"/>
  <c r="D215" i="5" a="1"/>
  <c r="D215" i="5" s="1"/>
  <c r="G215" i="5" s="1"/>
  <c r="D216" i="5" a="1"/>
  <c r="D216" i="5" s="1"/>
  <c r="G216" i="5" s="1"/>
  <c r="D217" i="5" a="1"/>
  <c r="D217" i="5" s="1"/>
  <c r="G217" i="5" s="1"/>
  <c r="D218" i="5" a="1"/>
  <c r="D218" i="5" s="1"/>
  <c r="G218" i="5" s="1"/>
  <c r="D219" i="5" a="1"/>
  <c r="D219" i="5" s="1"/>
  <c r="G219" i="5" s="1"/>
  <c r="D220" i="5" a="1"/>
  <c r="D220" i="5" s="1"/>
  <c r="G220" i="5" s="1"/>
  <c r="D221" i="5" a="1"/>
  <c r="D221" i="5" s="1"/>
  <c r="G221" i="5" s="1"/>
  <c r="D222" i="5" a="1"/>
  <c r="D222" i="5" s="1"/>
  <c r="G222" i="5" s="1"/>
  <c r="D223" i="5" a="1"/>
  <c r="D223" i="5" s="1"/>
  <c r="G223" i="5" s="1"/>
  <c r="D224" i="5" a="1"/>
  <c r="D224" i="5" s="1"/>
  <c r="G224" i="5" s="1"/>
  <c r="D225" i="5" a="1"/>
  <c r="D225" i="5" s="1"/>
  <c r="G225" i="5" s="1"/>
  <c r="D226" i="5" a="1"/>
  <c r="D226" i="5" s="1"/>
  <c r="G226" i="5" s="1"/>
  <c r="D227" i="5" a="1"/>
  <c r="D227" i="5" s="1"/>
  <c r="G227" i="5" s="1"/>
  <c r="D228" i="5" a="1"/>
  <c r="D228" i="5" s="1"/>
  <c r="G228" i="5" s="1"/>
  <c r="D229" i="5" a="1"/>
  <c r="D229" i="5" s="1"/>
  <c r="G229" i="5" s="1"/>
  <c r="D230" i="5" a="1"/>
  <c r="D230" i="5" s="1"/>
  <c r="G230" i="5" s="1"/>
  <c r="D231" i="5" a="1"/>
  <c r="D231" i="5" s="1"/>
  <c r="G231" i="5" s="1"/>
  <c r="D232" i="5" a="1"/>
  <c r="D232" i="5" s="1"/>
  <c r="G232" i="5" s="1"/>
  <c r="D233" i="5" a="1"/>
  <c r="D233" i="5" s="1"/>
  <c r="G233" i="5" s="1"/>
  <c r="D234" i="5" a="1"/>
  <c r="D234" i="5" s="1"/>
  <c r="G234" i="5" s="1"/>
  <c r="D235" i="5" a="1"/>
  <c r="D235" i="5" s="1"/>
  <c r="G235" i="5" s="1"/>
  <c r="D236" i="5" a="1"/>
  <c r="D236" i="5" s="1"/>
  <c r="G236" i="5" s="1"/>
  <c r="D237" i="5" a="1"/>
  <c r="D237" i="5" s="1"/>
  <c r="G237" i="5" s="1"/>
  <c r="D238" i="5" a="1"/>
  <c r="D238" i="5" s="1"/>
  <c r="G238" i="5" s="1"/>
  <c r="D239" i="5" a="1"/>
  <c r="D239" i="5" s="1"/>
  <c r="G239" i="5" s="1"/>
  <c r="D240" i="5" a="1"/>
  <c r="D240" i="5" s="1"/>
  <c r="G240" i="5" s="1"/>
  <c r="D241" i="5" a="1"/>
  <c r="D241" i="5" s="1"/>
  <c r="G241" i="5" s="1"/>
  <c r="D242" i="5" a="1"/>
  <c r="D242" i="5" s="1"/>
  <c r="G242" i="5" s="1"/>
  <c r="D243" i="5" a="1"/>
  <c r="D243" i="5" s="1"/>
  <c r="G243" i="5" s="1"/>
  <c r="D244" i="5" a="1"/>
  <c r="D244" i="5" s="1"/>
  <c r="G244" i="5" s="1"/>
  <c r="D245" i="5" a="1"/>
  <c r="D245" i="5" s="1"/>
  <c r="G245" i="5" s="1"/>
  <c r="D246" i="5" a="1"/>
  <c r="D246" i="5" s="1"/>
  <c r="G246" i="5" s="1"/>
  <c r="D247" i="5" a="1"/>
  <c r="D247" i="5" s="1"/>
  <c r="G247" i="5" s="1"/>
  <c r="D248" i="5" a="1"/>
  <c r="D248" i="5" s="1"/>
  <c r="G248" i="5" s="1"/>
  <c r="D249" i="5" a="1"/>
  <c r="D249" i="5" s="1"/>
  <c r="G249" i="5" s="1"/>
  <c r="D250" i="5" a="1"/>
  <c r="D250" i="5" s="1"/>
  <c r="G250" i="5" s="1"/>
  <c r="D251" i="5" a="1"/>
  <c r="D251" i="5" s="1"/>
  <c r="G251" i="5" s="1"/>
  <c r="D252" i="5" a="1"/>
  <c r="D252" i="5" s="1"/>
  <c r="G252" i="5" s="1"/>
  <c r="D253" i="5" a="1"/>
  <c r="D253" i="5" s="1"/>
  <c r="G253" i="5" s="1"/>
  <c r="D254" i="5" a="1"/>
  <c r="D254" i="5" s="1"/>
  <c r="G254" i="5" s="1"/>
  <c r="D255" i="5" a="1"/>
  <c r="D255" i="5" s="1"/>
  <c r="G255" i="5" s="1"/>
  <c r="D256" i="5" a="1"/>
  <c r="D256" i="5" s="1"/>
  <c r="G256" i="5" s="1"/>
  <c r="D257" i="5" a="1"/>
  <c r="D257" i="5" s="1"/>
  <c r="G257" i="5" s="1"/>
  <c r="D258" i="5" a="1"/>
  <c r="D258" i="5" s="1"/>
  <c r="G258" i="5" s="1"/>
  <c r="D259" i="5" a="1"/>
  <c r="D259" i="5" s="1"/>
  <c r="G259" i="5" s="1"/>
  <c r="D260" i="5" a="1"/>
  <c r="D260" i="5" s="1"/>
  <c r="G260" i="5" s="1"/>
  <c r="D261" i="5" a="1"/>
  <c r="D261" i="5" s="1"/>
  <c r="G261" i="5" s="1"/>
  <c r="D262" i="5" a="1"/>
  <c r="D262" i="5" s="1"/>
  <c r="G262" i="5" s="1"/>
  <c r="D263" i="5" a="1"/>
  <c r="D263" i="5" s="1"/>
  <c r="G263" i="5" s="1"/>
  <c r="D264" i="5" a="1"/>
  <c r="D264" i="5" s="1"/>
  <c r="G264" i="5" s="1"/>
  <c r="D265" i="5" a="1"/>
  <c r="D265" i="5" s="1"/>
  <c r="G265" i="5" s="1"/>
  <c r="D266" i="5" a="1"/>
  <c r="D266" i="5" s="1"/>
  <c r="G266" i="5" s="1"/>
  <c r="D267" i="5" a="1"/>
  <c r="D267" i="5" s="1"/>
  <c r="G267" i="5" s="1"/>
  <c r="D268" i="5" a="1"/>
  <c r="D268" i="5" s="1"/>
  <c r="G268" i="5" s="1"/>
  <c r="D269" i="5" a="1"/>
  <c r="D269" i="5" s="1"/>
  <c r="G269" i="5" s="1"/>
  <c r="D270" i="5" a="1"/>
  <c r="D270" i="5" s="1"/>
  <c r="G270" i="5" s="1"/>
  <c r="D271" i="5" a="1"/>
  <c r="D271" i="5" s="1"/>
  <c r="G271" i="5" s="1"/>
  <c r="D272" i="5" a="1"/>
  <c r="D272" i="5" s="1"/>
  <c r="G272" i="5" s="1"/>
  <c r="D273" i="5" a="1"/>
  <c r="D273" i="5" s="1"/>
  <c r="G273" i="5" s="1"/>
  <c r="D274" i="5" a="1"/>
  <c r="D274" i="5" s="1"/>
  <c r="G274" i="5" s="1"/>
  <c r="D275" i="5" a="1"/>
  <c r="D275" i="5" s="1"/>
  <c r="G275" i="5" s="1"/>
  <c r="D276" i="5" a="1"/>
  <c r="D276" i="5" s="1"/>
  <c r="G276" i="5" s="1"/>
  <c r="D277" i="5" a="1"/>
  <c r="D277" i="5" s="1"/>
  <c r="G277" i="5" s="1"/>
  <c r="D278" i="5" a="1"/>
  <c r="D278" i="5" s="1"/>
  <c r="G278" i="5" s="1"/>
  <c r="D279" i="5" a="1"/>
  <c r="D279" i="5" s="1"/>
  <c r="G279" i="5" s="1"/>
  <c r="D280" i="5" a="1"/>
  <c r="D280" i="5" s="1"/>
  <c r="G280" i="5" s="1"/>
  <c r="D281" i="5" a="1"/>
  <c r="D281" i="5" s="1"/>
  <c r="G281" i="5" s="1"/>
  <c r="D282" i="5" a="1"/>
  <c r="D282" i="5" s="1"/>
  <c r="G282" i="5" s="1"/>
  <c r="D283" i="5" a="1"/>
  <c r="D283" i="5" s="1"/>
  <c r="G283" i="5" s="1"/>
  <c r="D284" i="5" a="1"/>
  <c r="D284" i="5" s="1"/>
  <c r="G284" i="5" s="1"/>
  <c r="D285" i="5" a="1"/>
  <c r="D285" i="5" s="1"/>
  <c r="G285" i="5" s="1"/>
  <c r="D286" i="5" a="1"/>
  <c r="D286" i="5" s="1"/>
  <c r="G286" i="5" s="1"/>
  <c r="D287" i="5" a="1"/>
  <c r="D287" i="5" s="1"/>
  <c r="G287" i="5" s="1"/>
  <c r="D288" i="5" a="1"/>
  <c r="D288" i="5" s="1"/>
  <c r="G288" i="5" s="1"/>
  <c r="D289" i="5" a="1"/>
  <c r="D289" i="5" s="1"/>
  <c r="G289" i="5" s="1"/>
  <c r="D290" i="5" a="1"/>
  <c r="D290" i="5" s="1"/>
  <c r="G290" i="5" s="1"/>
  <c r="D291" i="5" a="1"/>
  <c r="D291" i="5" s="1"/>
  <c r="G291" i="5" s="1"/>
  <c r="D292" i="5" a="1"/>
  <c r="D292" i="5" s="1"/>
  <c r="G292" i="5" s="1"/>
  <c r="D293" i="5" a="1"/>
  <c r="D293" i="5" s="1"/>
  <c r="G293" i="5" s="1"/>
  <c r="D294" i="5" a="1"/>
  <c r="D294" i="5" s="1"/>
  <c r="G294" i="5" s="1"/>
  <c r="D295" i="5" a="1"/>
  <c r="D295" i="5" s="1"/>
  <c r="G295" i="5" s="1"/>
  <c r="D296" i="5" a="1"/>
  <c r="D296" i="5" s="1"/>
  <c r="G296" i="5" s="1"/>
  <c r="D297" i="5" a="1"/>
  <c r="D297" i="5" s="1"/>
  <c r="G297" i="5" s="1"/>
  <c r="D298" i="5" a="1"/>
  <c r="D298" i="5" s="1"/>
  <c r="G298" i="5" s="1"/>
  <c r="D299" i="5" a="1"/>
  <c r="D299" i="5" s="1"/>
  <c r="G299" i="5" s="1"/>
  <c r="D300" i="5" a="1"/>
  <c r="D300" i="5" s="1"/>
  <c r="G300" i="5" s="1"/>
  <c r="D301" i="5" a="1"/>
  <c r="D301" i="5" s="1"/>
  <c r="G301" i="5" s="1"/>
  <c r="D302" i="5" a="1"/>
  <c r="D302" i="5" s="1"/>
  <c r="G302" i="5" s="1"/>
  <c r="D303" i="5" a="1"/>
  <c r="D303" i="5" s="1"/>
  <c r="G303" i="5" s="1"/>
  <c r="D304" i="5" a="1"/>
  <c r="D304" i="5" s="1"/>
  <c r="G304" i="5" s="1"/>
  <c r="D305" i="5" a="1"/>
  <c r="D305" i="5" s="1"/>
  <c r="G305" i="5" s="1"/>
  <c r="D306" i="5" a="1"/>
  <c r="D306" i="5" s="1"/>
  <c r="G306" i="5" s="1"/>
  <c r="D307" i="5" a="1"/>
  <c r="D307" i="5" s="1"/>
  <c r="G307" i="5" s="1"/>
  <c r="D308" i="5" a="1"/>
  <c r="D308" i="5" s="1"/>
  <c r="G308" i="5" s="1"/>
  <c r="D309" i="5" a="1"/>
  <c r="D309" i="5" s="1"/>
  <c r="G309" i="5" s="1"/>
  <c r="D310" i="5" a="1"/>
  <c r="D310" i="5" s="1"/>
  <c r="G310" i="5" s="1"/>
  <c r="D311" i="5" a="1"/>
  <c r="D311" i="5" s="1"/>
  <c r="G311" i="5" s="1"/>
  <c r="D312" i="5" a="1"/>
  <c r="D312" i="5" s="1"/>
  <c r="G312" i="5" s="1"/>
  <c r="D313" i="5" a="1"/>
  <c r="D313" i="5" s="1"/>
  <c r="G313" i="5" s="1"/>
  <c r="D314" i="5" a="1"/>
  <c r="D314" i="5" s="1"/>
  <c r="G314" i="5" s="1"/>
  <c r="D315" i="5" a="1"/>
  <c r="D315" i="5" s="1"/>
  <c r="G315" i="5" s="1"/>
  <c r="D316" i="5" a="1"/>
  <c r="D316" i="5" s="1"/>
  <c r="G316" i="5" s="1"/>
  <c r="D317" i="5" a="1"/>
  <c r="D317" i="5" s="1"/>
  <c r="G317" i="5" s="1"/>
  <c r="D318" i="5" a="1"/>
  <c r="D318" i="5" s="1"/>
  <c r="G318" i="5" s="1"/>
  <c r="D319" i="5" a="1"/>
  <c r="D319" i="5" s="1"/>
  <c r="G319" i="5" s="1"/>
  <c r="D320" i="5" a="1"/>
  <c r="D320" i="5" s="1"/>
  <c r="G320" i="5" s="1"/>
  <c r="D321" i="5" a="1"/>
  <c r="D321" i="5" s="1"/>
  <c r="G321" i="5" s="1"/>
  <c r="D322" i="5" a="1"/>
  <c r="D322" i="5" s="1"/>
  <c r="G322" i="5" s="1"/>
  <c r="D323" i="5" a="1"/>
  <c r="D323" i="5" s="1"/>
  <c r="G323" i="5" s="1"/>
  <c r="D324" i="5" a="1"/>
  <c r="D324" i="5" s="1"/>
  <c r="G324" i="5" s="1"/>
  <c r="D325" i="5" a="1"/>
  <c r="D325" i="5" s="1"/>
  <c r="G325" i="5" s="1"/>
  <c r="D326" i="5" a="1"/>
  <c r="D326" i="5" s="1"/>
  <c r="G326" i="5" s="1"/>
  <c r="D327" i="5" a="1"/>
  <c r="D327" i="5" s="1"/>
  <c r="G327" i="5" s="1"/>
  <c r="D328" i="5" a="1"/>
  <c r="D328" i="5" s="1"/>
  <c r="G328" i="5" s="1"/>
  <c r="D329" i="5" a="1"/>
  <c r="D329" i="5" s="1"/>
  <c r="G329" i="5" s="1"/>
  <c r="D330" i="5" a="1"/>
  <c r="D330" i="5" s="1"/>
  <c r="G330" i="5" s="1"/>
  <c r="D331" i="5" a="1"/>
  <c r="D331" i="5" s="1"/>
  <c r="G331" i="5" s="1"/>
  <c r="D332" i="5" a="1"/>
  <c r="D332" i="5" s="1"/>
  <c r="G332" i="5" s="1"/>
  <c r="D333" i="5" a="1"/>
  <c r="D333" i="5" s="1"/>
  <c r="G333" i="5" s="1"/>
  <c r="D334" i="5" a="1"/>
  <c r="D334" i="5" s="1"/>
  <c r="G334" i="5" s="1"/>
  <c r="D335" i="5" a="1"/>
  <c r="D335" i="5" s="1"/>
  <c r="G335" i="5" s="1"/>
  <c r="D336" i="5" a="1"/>
  <c r="D336" i="5" s="1"/>
  <c r="G336" i="5" s="1"/>
  <c r="D337" i="5" a="1"/>
  <c r="D337" i="5" s="1"/>
  <c r="G337" i="5" s="1"/>
  <c r="D338" i="5" a="1"/>
  <c r="D338" i="5" s="1"/>
  <c r="G338" i="5" s="1"/>
  <c r="D339" i="5" a="1"/>
  <c r="D339" i="5" s="1"/>
  <c r="G339" i="5" s="1"/>
  <c r="D340" i="5" a="1"/>
  <c r="D340" i="5" s="1"/>
  <c r="G340" i="5" s="1"/>
  <c r="D341" i="5" a="1"/>
  <c r="D341" i="5" s="1"/>
  <c r="G341" i="5" s="1"/>
  <c r="D342" i="5" a="1"/>
  <c r="D342" i="5" s="1"/>
  <c r="G342" i="5" s="1"/>
  <c r="D343" i="5" a="1"/>
  <c r="D343" i="5" s="1"/>
  <c r="G343" i="5" s="1"/>
  <c r="D344" i="5" a="1"/>
  <c r="D344" i="5" s="1"/>
  <c r="G344" i="5" s="1"/>
  <c r="D345" i="5" a="1"/>
  <c r="D345" i="5" s="1"/>
  <c r="G345" i="5" s="1"/>
  <c r="D346" i="5" a="1"/>
  <c r="D346" i="5" s="1"/>
  <c r="G346" i="5" s="1"/>
  <c r="D347" i="5" a="1"/>
  <c r="D347" i="5" s="1"/>
  <c r="G347" i="5" s="1"/>
  <c r="D348" i="5" a="1"/>
  <c r="D348" i="5" s="1"/>
  <c r="G348" i="5" s="1"/>
  <c r="D349" i="5" a="1"/>
  <c r="D349" i="5" s="1"/>
  <c r="G349" i="5" s="1"/>
  <c r="D350" i="5" a="1"/>
  <c r="D350" i="5" s="1"/>
  <c r="G350" i="5" s="1"/>
  <c r="D351" i="5" a="1"/>
  <c r="D351" i="5" s="1"/>
  <c r="G351" i="5" s="1"/>
  <c r="D352" i="5" a="1"/>
  <c r="D352" i="5" s="1"/>
  <c r="G352" i="5" s="1"/>
  <c r="D353" i="5" a="1"/>
  <c r="D353" i="5" s="1"/>
  <c r="G353" i="5" s="1"/>
  <c r="D354" i="5" a="1"/>
  <c r="D354" i="5" s="1"/>
  <c r="G354" i="5" s="1"/>
  <c r="D355" i="5" a="1"/>
  <c r="D355" i="5" s="1"/>
  <c r="G355" i="5" s="1"/>
  <c r="D356" i="5" a="1"/>
  <c r="D356" i="5" s="1"/>
  <c r="G356" i="5" s="1"/>
  <c r="D357" i="5" a="1"/>
  <c r="D357" i="5" s="1"/>
  <c r="G357" i="5" s="1"/>
  <c r="D358" i="5" a="1"/>
  <c r="D358" i="5" s="1"/>
  <c r="G358" i="5" s="1"/>
  <c r="D359" i="5" a="1"/>
  <c r="D359" i="5" s="1"/>
  <c r="G359" i="5" s="1"/>
  <c r="D360" i="5" a="1"/>
  <c r="D360" i="5" s="1"/>
  <c r="G360" i="5" s="1"/>
  <c r="D361" i="5" a="1"/>
  <c r="D361" i="5" s="1"/>
  <c r="G361" i="5" s="1"/>
  <c r="D362" i="5" a="1"/>
  <c r="D362" i="5" s="1"/>
  <c r="G362" i="5" s="1"/>
  <c r="D363" i="5" a="1"/>
  <c r="D363" i="5" s="1"/>
  <c r="G363" i="5" s="1"/>
  <c r="D364" i="5" a="1"/>
  <c r="D364" i="5" s="1"/>
  <c r="G364" i="5" s="1"/>
  <c r="D365" i="5" a="1"/>
  <c r="D365" i="5" s="1"/>
  <c r="G365" i="5" s="1"/>
  <c r="D366" i="5" a="1"/>
  <c r="D366" i="5" s="1"/>
  <c r="G366" i="5" s="1"/>
  <c r="D367" i="5" a="1"/>
  <c r="D367" i="5" s="1"/>
  <c r="G367" i="5" s="1"/>
  <c r="D368" i="5" a="1"/>
  <c r="D368" i="5" s="1"/>
  <c r="G368" i="5" s="1"/>
  <c r="D369" i="5" a="1"/>
  <c r="D369" i="5" s="1"/>
  <c r="G369" i="5" s="1"/>
  <c r="D370" i="5" a="1"/>
  <c r="D370" i="5" s="1"/>
  <c r="G370" i="5" s="1"/>
  <c r="D371" i="5" a="1"/>
  <c r="D371" i="5" s="1"/>
  <c r="G371" i="5" s="1"/>
  <c r="D372" i="5" a="1"/>
  <c r="D372" i="5" s="1"/>
  <c r="G372" i="5" s="1"/>
  <c r="D373" i="5" a="1"/>
  <c r="D373" i="5" s="1"/>
  <c r="G373" i="5" s="1"/>
  <c r="D374" i="5" a="1"/>
  <c r="D374" i="5" s="1"/>
  <c r="G374" i="5" s="1"/>
  <c r="D375" i="5" a="1"/>
  <c r="D375" i="5" s="1"/>
  <c r="G375" i="5" s="1"/>
  <c r="D376" i="5" a="1"/>
  <c r="D376" i="5" s="1"/>
  <c r="G376" i="5" s="1"/>
  <c r="D377" i="5" a="1"/>
  <c r="D377" i="5" s="1"/>
  <c r="G377" i="5" s="1"/>
  <c r="D378" i="5" a="1"/>
  <c r="D378" i="5" s="1"/>
  <c r="G378" i="5" s="1"/>
  <c r="D379" i="5" a="1"/>
  <c r="D379" i="5" s="1"/>
  <c r="G379" i="5" s="1"/>
  <c r="D380" i="5" a="1"/>
  <c r="D380" i="5" s="1"/>
  <c r="G380" i="5" s="1"/>
  <c r="D381" i="5" a="1"/>
  <c r="D381" i="5" s="1"/>
  <c r="G381" i="5" s="1"/>
  <c r="D382" i="5" a="1"/>
  <c r="D382" i="5" s="1"/>
  <c r="G382" i="5" s="1"/>
  <c r="D383" i="5" a="1"/>
  <c r="D383" i="5" s="1"/>
  <c r="G383" i="5" s="1"/>
  <c r="D384" i="5" a="1"/>
  <c r="D384" i="5" s="1"/>
  <c r="G384" i="5" s="1"/>
  <c r="D385" i="5" a="1"/>
  <c r="D385" i="5" s="1"/>
  <c r="G385" i="5" s="1"/>
  <c r="D386" i="5" a="1"/>
  <c r="D386" i="5" s="1"/>
  <c r="G386" i="5" s="1"/>
  <c r="D387" i="5" a="1"/>
  <c r="D387" i="5" s="1"/>
  <c r="G387" i="5" s="1"/>
  <c r="D388" i="5" a="1"/>
  <c r="D388" i="5" s="1"/>
  <c r="G388" i="5" s="1"/>
  <c r="D389" i="5" a="1"/>
  <c r="D389" i="5" s="1"/>
  <c r="G389" i="5" s="1"/>
  <c r="D390" i="5" a="1"/>
  <c r="D390" i="5" s="1"/>
  <c r="G390" i="5" s="1"/>
  <c r="D391" i="5" a="1"/>
  <c r="D391" i="5" s="1"/>
  <c r="G391" i="5" s="1"/>
  <c r="D392" i="5" a="1"/>
  <c r="D392" i="5" s="1"/>
  <c r="G392" i="5" s="1"/>
  <c r="D393" i="5" a="1"/>
  <c r="D393" i="5" s="1"/>
  <c r="G393" i="5" s="1"/>
  <c r="D394" i="5" a="1"/>
  <c r="D394" i="5" s="1"/>
  <c r="G394" i="5" s="1"/>
  <c r="D395" i="5" a="1"/>
  <c r="D395" i="5" s="1"/>
  <c r="G395" i="5" s="1"/>
  <c r="D396" i="5" a="1"/>
  <c r="D396" i="5" s="1"/>
  <c r="G396" i="5" s="1"/>
  <c r="D397" i="5" a="1"/>
  <c r="D397" i="5" s="1"/>
  <c r="G397" i="5" s="1"/>
  <c r="D398" i="5" a="1"/>
  <c r="D398" i="5" s="1"/>
  <c r="G398" i="5" s="1"/>
  <c r="D399" i="5" a="1"/>
  <c r="D399" i="5" s="1"/>
  <c r="G399" i="5" s="1"/>
  <c r="D400" i="5" a="1"/>
  <c r="D400" i="5" s="1"/>
  <c r="G400" i="5" s="1"/>
  <c r="D401" i="5" a="1"/>
  <c r="D401" i="5" s="1"/>
  <c r="G401" i="5" s="1"/>
  <c r="D402" i="5" a="1"/>
  <c r="D402" i="5" s="1"/>
  <c r="G402" i="5" s="1"/>
  <c r="D403" i="5" a="1"/>
  <c r="D403" i="5" s="1"/>
  <c r="G403" i="5" s="1"/>
  <c r="D404" i="5" a="1"/>
  <c r="D404" i="5" s="1"/>
  <c r="G404" i="5" s="1"/>
  <c r="D405" i="5" a="1"/>
  <c r="D405" i="5" s="1"/>
  <c r="G405" i="5" s="1"/>
  <c r="D406" i="5" a="1"/>
  <c r="D406" i="5" s="1"/>
  <c r="G406" i="5" s="1"/>
  <c r="D407" i="5" a="1"/>
  <c r="D407" i="5" s="1"/>
  <c r="G407" i="5" s="1"/>
  <c r="D408" i="5" a="1"/>
  <c r="D408" i="5" s="1"/>
  <c r="G408" i="5" s="1"/>
  <c r="D409" i="5" a="1"/>
  <c r="D409" i="5" s="1"/>
  <c r="G409" i="5" s="1"/>
  <c r="D410" i="5" a="1"/>
  <c r="D410" i="5" s="1"/>
  <c r="G410" i="5" s="1"/>
  <c r="D411" i="5" a="1"/>
  <c r="D411" i="5" s="1"/>
  <c r="G411" i="5" s="1"/>
  <c r="D412" i="5" a="1"/>
  <c r="D412" i="5" s="1"/>
  <c r="G412" i="5" s="1"/>
  <c r="D413" i="5" a="1"/>
  <c r="D413" i="5" s="1"/>
  <c r="G413" i="5" s="1"/>
  <c r="D414" i="5" a="1"/>
  <c r="D414" i="5" s="1"/>
  <c r="G414" i="5" s="1"/>
  <c r="D415" i="5" a="1"/>
  <c r="D415" i="5" s="1"/>
  <c r="G415" i="5" s="1"/>
  <c r="D416" i="5" a="1"/>
  <c r="D416" i="5" s="1"/>
  <c r="G416" i="5" s="1"/>
  <c r="D417" i="5" a="1"/>
  <c r="D417" i="5" s="1"/>
  <c r="G417" i="5" s="1"/>
  <c r="D418" i="5" a="1"/>
  <c r="D418" i="5" s="1"/>
  <c r="G418" i="5" s="1"/>
  <c r="D419" i="5" a="1"/>
  <c r="D419" i="5" s="1"/>
  <c r="G419" i="5" s="1"/>
  <c r="D420" i="5" a="1"/>
  <c r="D420" i="5" s="1"/>
  <c r="G420" i="5" s="1"/>
  <c r="D421" i="5" a="1"/>
  <c r="D421" i="5" s="1"/>
  <c r="G421" i="5" s="1"/>
  <c r="D422" i="5" a="1"/>
  <c r="D422" i="5" s="1"/>
  <c r="G422" i="5" s="1"/>
  <c r="D423" i="5" a="1"/>
  <c r="D423" i="5" s="1"/>
  <c r="G423" i="5" s="1"/>
  <c r="D424" i="5" a="1"/>
  <c r="D424" i="5" s="1"/>
  <c r="G424" i="5" s="1"/>
  <c r="D425" i="5" a="1"/>
  <c r="D425" i="5" s="1"/>
  <c r="G425" i="5" s="1"/>
  <c r="D426" i="5" a="1"/>
  <c r="D426" i="5" s="1"/>
  <c r="G426" i="5" s="1"/>
  <c r="D427" i="5" a="1"/>
  <c r="D427" i="5" s="1"/>
  <c r="G427" i="5" s="1"/>
  <c r="D428" i="5" a="1"/>
  <c r="D428" i="5" s="1"/>
  <c r="G428" i="5" s="1"/>
  <c r="D429" i="5" a="1"/>
  <c r="D429" i="5" s="1"/>
  <c r="G429" i="5" s="1"/>
  <c r="D430" i="5" a="1"/>
  <c r="D430" i="5" s="1"/>
  <c r="G430" i="5" s="1"/>
  <c r="D431" i="5" a="1"/>
  <c r="D431" i="5" s="1"/>
  <c r="G431" i="5" s="1"/>
  <c r="D432" i="5" a="1"/>
  <c r="D432" i="5" s="1"/>
  <c r="G432" i="5" s="1"/>
  <c r="D433" i="5" a="1"/>
  <c r="D433" i="5" s="1"/>
  <c r="G433" i="5" s="1"/>
  <c r="D434" i="5" a="1"/>
  <c r="D434" i="5" s="1"/>
  <c r="G434" i="5" s="1"/>
  <c r="D435" i="5" a="1"/>
  <c r="D435" i="5" s="1"/>
  <c r="G435" i="5" s="1"/>
  <c r="D436" i="5" a="1"/>
  <c r="D436" i="5" s="1"/>
  <c r="G436" i="5" s="1"/>
  <c r="D437" i="5" a="1"/>
  <c r="D437" i="5" s="1"/>
  <c r="G437" i="5" s="1"/>
  <c r="D438" i="5" a="1"/>
  <c r="D438" i="5" s="1"/>
  <c r="G438" i="5" s="1"/>
  <c r="D439" i="5" a="1"/>
  <c r="D439" i="5" s="1"/>
  <c r="G439" i="5" s="1"/>
  <c r="D440" i="5" a="1"/>
  <c r="D440" i="5" s="1"/>
  <c r="G440" i="5" s="1"/>
  <c r="D441" i="5" a="1"/>
  <c r="D441" i="5" s="1"/>
  <c r="G441" i="5" s="1"/>
  <c r="D442" i="5" a="1"/>
  <c r="D442" i="5" s="1"/>
  <c r="G442" i="5" s="1"/>
  <c r="D443" i="5" a="1"/>
  <c r="D443" i="5" s="1"/>
  <c r="G443" i="5" s="1"/>
  <c r="D444" i="5" a="1"/>
  <c r="D444" i="5" s="1"/>
  <c r="G444" i="5" s="1"/>
  <c r="D445" i="5" a="1"/>
  <c r="D445" i="5" s="1"/>
  <c r="G445" i="5" s="1"/>
  <c r="D446" i="5" a="1"/>
  <c r="D446" i="5" s="1"/>
  <c r="G446" i="5" s="1"/>
  <c r="D447" i="5" a="1"/>
  <c r="D447" i="5" s="1"/>
  <c r="G447" i="5" s="1"/>
  <c r="D448" i="5" a="1"/>
  <c r="D448" i="5" s="1"/>
  <c r="G448" i="5" s="1"/>
  <c r="D449" i="5" a="1"/>
  <c r="D449" i="5" s="1"/>
  <c r="G449" i="5" s="1"/>
  <c r="D450" i="5" a="1"/>
  <c r="D450" i="5" s="1"/>
  <c r="G450" i="5" s="1"/>
  <c r="D451" i="5" a="1"/>
  <c r="D451" i="5" s="1"/>
  <c r="G451" i="5" s="1"/>
  <c r="D452" i="5" a="1"/>
  <c r="D452" i="5" s="1"/>
  <c r="G452" i="5" s="1"/>
  <c r="D453" i="5" a="1"/>
  <c r="D453" i="5" s="1"/>
  <c r="G453" i="5" s="1"/>
  <c r="D454" i="5" a="1"/>
  <c r="D454" i="5" s="1"/>
  <c r="G454" i="5" s="1"/>
  <c r="D455" i="5" a="1"/>
  <c r="D455" i="5" s="1"/>
  <c r="G455" i="5" s="1"/>
  <c r="D456" i="5" a="1"/>
  <c r="D456" i="5" s="1"/>
  <c r="G456" i="5" s="1"/>
  <c r="D457" i="5" a="1"/>
  <c r="D457" i="5" s="1"/>
  <c r="G457" i="5" s="1"/>
  <c r="D458" i="5" a="1"/>
  <c r="D458" i="5" s="1"/>
  <c r="G458" i="5" s="1"/>
  <c r="D459" i="5" a="1"/>
  <c r="D459" i="5" s="1"/>
  <c r="G459" i="5" s="1"/>
  <c r="D460" i="5" a="1"/>
  <c r="D460" i="5" s="1"/>
  <c r="G460" i="5" s="1"/>
  <c r="D461" i="5" a="1"/>
  <c r="D461" i="5" s="1"/>
  <c r="G461" i="5" s="1"/>
  <c r="D462" i="5" a="1"/>
  <c r="D462" i="5" s="1"/>
  <c r="G462" i="5" s="1"/>
  <c r="D463" i="5" a="1"/>
  <c r="D463" i="5" s="1"/>
  <c r="G463" i="5" s="1"/>
  <c r="D464" i="5" a="1"/>
  <c r="D464" i="5" s="1"/>
  <c r="G464" i="5" s="1"/>
  <c r="D465" i="5" a="1"/>
  <c r="D465" i="5" s="1"/>
  <c r="G465" i="5" s="1"/>
  <c r="D466" i="5" a="1"/>
  <c r="D466" i="5" s="1"/>
  <c r="G466" i="5" s="1"/>
  <c r="D467" i="5" a="1"/>
  <c r="D467" i="5" s="1"/>
  <c r="G467" i="5" s="1"/>
  <c r="D468" i="5" a="1"/>
  <c r="D468" i="5" s="1"/>
  <c r="G468" i="5" s="1"/>
  <c r="D469" i="5" a="1"/>
  <c r="D469" i="5" s="1"/>
  <c r="G469" i="5" s="1"/>
  <c r="D470" i="5" a="1"/>
  <c r="D470" i="5" s="1"/>
  <c r="G470" i="5" s="1"/>
  <c r="D471" i="5" a="1"/>
  <c r="D471" i="5" s="1"/>
  <c r="G471" i="5" s="1"/>
  <c r="D472" i="5" a="1"/>
  <c r="D472" i="5" s="1"/>
  <c r="G472" i="5" s="1"/>
  <c r="D473" i="5" a="1"/>
  <c r="D473" i="5" s="1"/>
  <c r="G473" i="5" s="1"/>
  <c r="D474" i="5" a="1"/>
  <c r="D474" i="5" s="1"/>
  <c r="G474" i="5" s="1"/>
  <c r="D475" i="5" a="1"/>
  <c r="D475" i="5" s="1"/>
  <c r="G475" i="5" s="1"/>
  <c r="D476" i="5" a="1"/>
  <c r="D476" i="5" s="1"/>
  <c r="G476" i="5" s="1"/>
  <c r="D477" i="5" a="1"/>
  <c r="D477" i="5" s="1"/>
  <c r="G477" i="5" s="1"/>
  <c r="D478" i="5" a="1"/>
  <c r="D478" i="5" s="1"/>
  <c r="G478" i="5" s="1"/>
  <c r="D479" i="5" a="1"/>
  <c r="D479" i="5" s="1"/>
  <c r="G479" i="5" s="1"/>
  <c r="D480" i="5" a="1"/>
  <c r="D480" i="5" s="1"/>
  <c r="G480" i="5" s="1"/>
  <c r="D481" i="5" a="1"/>
  <c r="D481" i="5" s="1"/>
  <c r="G481" i="5" s="1"/>
  <c r="D482" i="5" a="1"/>
  <c r="D482" i="5" s="1"/>
  <c r="G482" i="5" s="1"/>
  <c r="D483" i="5" a="1"/>
  <c r="D483" i="5" s="1"/>
  <c r="G483" i="5" s="1"/>
  <c r="D484" i="5" a="1"/>
  <c r="D484" i="5" s="1"/>
  <c r="G484" i="5" s="1"/>
  <c r="D485" i="5" a="1"/>
  <c r="D485" i="5" s="1"/>
  <c r="G485" i="5" s="1"/>
  <c r="D486" i="5" a="1"/>
  <c r="D486" i="5" s="1"/>
  <c r="G486" i="5" s="1"/>
  <c r="D487" i="5" a="1"/>
  <c r="D487" i="5" s="1"/>
  <c r="G487" i="5" s="1"/>
  <c r="D488" i="5" a="1"/>
  <c r="D488" i="5" s="1"/>
  <c r="G488" i="5" s="1"/>
  <c r="D489" i="5" a="1"/>
  <c r="D489" i="5" s="1"/>
  <c r="G489" i="5" s="1"/>
  <c r="D490" i="5" a="1"/>
  <c r="D490" i="5" s="1"/>
  <c r="G490" i="5" s="1"/>
  <c r="D491" i="5" a="1"/>
  <c r="D491" i="5" s="1"/>
  <c r="G491" i="5" s="1"/>
  <c r="D492" i="5" a="1"/>
  <c r="D492" i="5" s="1"/>
  <c r="G492" i="5" s="1"/>
  <c r="D493" i="5" a="1"/>
  <c r="D493" i="5" s="1"/>
  <c r="G493" i="5" s="1"/>
  <c r="D494" i="5" a="1"/>
  <c r="D494" i="5" s="1"/>
  <c r="G494" i="5" s="1"/>
  <c r="D495" i="5" a="1"/>
  <c r="D495" i="5" s="1"/>
  <c r="G495" i="5" s="1"/>
  <c r="D496" i="5" a="1"/>
  <c r="D496" i="5" s="1"/>
  <c r="G496" i="5" s="1"/>
  <c r="D497" i="5" a="1"/>
  <c r="D497" i="5" s="1"/>
  <c r="G497" i="5" s="1"/>
  <c r="D498" i="5" a="1"/>
  <c r="D498" i="5" s="1"/>
  <c r="G498" i="5" s="1"/>
  <c r="D499" i="5" a="1"/>
  <c r="D499" i="5" s="1"/>
  <c r="G499" i="5" s="1"/>
  <c r="D500" i="5" a="1"/>
  <c r="D500" i="5" s="1"/>
  <c r="G500" i="5" s="1"/>
  <c r="D501" i="5" a="1"/>
  <c r="D501" i="5" s="1"/>
  <c r="G501" i="5" s="1"/>
  <c r="D502" i="5" a="1"/>
  <c r="D502" i="5" s="1"/>
  <c r="G502" i="5" s="1"/>
  <c r="D503" i="5" a="1"/>
  <c r="D503" i="5" s="1"/>
  <c r="G503" i="5" s="1"/>
  <c r="D504" i="5" a="1"/>
  <c r="D504" i="5" s="1"/>
  <c r="G504" i="5" s="1"/>
  <c r="D505" i="5" a="1"/>
  <c r="D505" i="5" s="1"/>
  <c r="G505" i="5" s="1"/>
  <c r="D506" i="5" a="1"/>
  <c r="D506" i="5" s="1"/>
  <c r="G506" i="5" s="1"/>
  <c r="D507" i="5" a="1"/>
  <c r="D507" i="5" s="1"/>
  <c r="G507" i="5" s="1"/>
  <c r="D508" i="5" a="1"/>
  <c r="D508" i="5" s="1"/>
  <c r="G508" i="5" s="1"/>
  <c r="D509" i="5" a="1"/>
  <c r="D509" i="5" s="1"/>
  <c r="G509" i="5" s="1"/>
  <c r="D510" i="5" a="1"/>
  <c r="D510" i="5" s="1"/>
  <c r="G510" i="5" s="1"/>
  <c r="D511" i="5" a="1"/>
  <c r="D511" i="5" s="1"/>
  <c r="G511" i="5" s="1"/>
  <c r="D512" i="5" a="1"/>
  <c r="D512" i="5" s="1"/>
  <c r="G512" i="5" s="1"/>
  <c r="D513" i="5" a="1"/>
  <c r="D513" i="5" s="1"/>
  <c r="G513" i="5" s="1"/>
  <c r="D514" i="5" a="1"/>
  <c r="D514" i="5" s="1"/>
  <c r="G514" i="5" s="1"/>
  <c r="D515" i="5" a="1"/>
  <c r="D515" i="5" s="1"/>
  <c r="G515" i="5" s="1"/>
  <c r="D516" i="5" a="1"/>
  <c r="D516" i="5" s="1"/>
  <c r="G516" i="5" s="1"/>
  <c r="D517" i="5" a="1"/>
  <c r="D517" i="5" s="1"/>
  <c r="G517" i="5" s="1"/>
  <c r="D518" i="5" a="1"/>
  <c r="D518" i="5" s="1"/>
  <c r="G518" i="5" s="1"/>
  <c r="D519" i="5" a="1"/>
  <c r="D519" i="5" s="1"/>
  <c r="G519" i="5" s="1"/>
  <c r="D520" i="5" a="1"/>
  <c r="D520" i="5" s="1"/>
  <c r="G520" i="5" s="1"/>
  <c r="D521" i="5" a="1"/>
  <c r="D521" i="5" s="1"/>
  <c r="G521" i="5" s="1"/>
  <c r="D522" i="5" a="1"/>
  <c r="D522" i="5" s="1"/>
  <c r="G522" i="5" s="1"/>
  <c r="D523" i="5" a="1"/>
  <c r="D523" i="5" s="1"/>
  <c r="G523" i="5" s="1"/>
  <c r="D524" i="5" a="1"/>
  <c r="D524" i="5" s="1"/>
  <c r="G524" i="5" s="1"/>
  <c r="D525" i="5" a="1"/>
  <c r="D525" i="5" s="1"/>
  <c r="G525" i="5" s="1"/>
  <c r="D526" i="5" a="1"/>
  <c r="D526" i="5" s="1"/>
  <c r="G526" i="5" s="1"/>
  <c r="D527" i="5" a="1"/>
  <c r="D527" i="5" s="1"/>
  <c r="G527" i="5" s="1"/>
  <c r="D528" i="5" a="1"/>
  <c r="D528" i="5" s="1"/>
  <c r="G528" i="5" s="1"/>
  <c r="D529" i="5" a="1"/>
  <c r="D529" i="5" s="1"/>
  <c r="G529" i="5" s="1"/>
  <c r="D530" i="5" a="1"/>
  <c r="D530" i="5" s="1"/>
  <c r="G530" i="5" s="1"/>
  <c r="D531" i="5" a="1"/>
  <c r="D531" i="5" s="1"/>
  <c r="G531" i="5" s="1"/>
  <c r="D532" i="5" a="1"/>
  <c r="D532" i="5" s="1"/>
  <c r="G532" i="5" s="1"/>
  <c r="D533" i="5" a="1"/>
  <c r="D533" i="5" s="1"/>
  <c r="G533" i="5" s="1"/>
  <c r="D534" i="5" a="1"/>
  <c r="D534" i="5" s="1"/>
  <c r="G534" i="5" s="1"/>
  <c r="D535" i="5" a="1"/>
  <c r="D535" i="5" s="1"/>
  <c r="G535" i="5" s="1"/>
  <c r="D536" i="5" a="1"/>
  <c r="D536" i="5" s="1"/>
  <c r="G536" i="5" s="1"/>
  <c r="D537" i="5" a="1"/>
  <c r="D537" i="5" s="1"/>
  <c r="G537" i="5" s="1"/>
  <c r="D538" i="5" a="1"/>
  <c r="D538" i="5" s="1"/>
  <c r="G538" i="5" s="1"/>
  <c r="D539" i="5" a="1"/>
  <c r="D539" i="5" s="1"/>
  <c r="G539" i="5" s="1"/>
  <c r="D540" i="5" a="1"/>
  <c r="D540" i="5" s="1"/>
  <c r="G540" i="5" s="1"/>
  <c r="D541" i="5" a="1"/>
  <c r="D541" i="5" s="1"/>
  <c r="G541" i="5" s="1"/>
  <c r="D542" i="5" a="1"/>
  <c r="D542" i="5" s="1"/>
  <c r="G542" i="5" s="1"/>
  <c r="D543" i="5" a="1"/>
  <c r="D543" i="5" s="1"/>
  <c r="G543" i="5" s="1"/>
  <c r="D544" i="5" a="1"/>
  <c r="D544" i="5" s="1"/>
  <c r="G544" i="5" s="1"/>
  <c r="D545" i="5" a="1"/>
  <c r="D545" i="5" s="1"/>
  <c r="G545" i="5" s="1"/>
  <c r="D546" i="5" a="1"/>
  <c r="D546" i="5" s="1"/>
  <c r="G546" i="5" s="1"/>
  <c r="D547" i="5" a="1"/>
  <c r="D547" i="5" s="1"/>
  <c r="G547" i="5" s="1"/>
  <c r="D548" i="5" a="1"/>
  <c r="D548" i="5" s="1"/>
  <c r="G548" i="5" s="1"/>
  <c r="D549" i="5" a="1"/>
  <c r="D549" i="5" s="1"/>
  <c r="G549" i="5" s="1"/>
  <c r="D550" i="5" a="1"/>
  <c r="D550" i="5" s="1"/>
  <c r="G550" i="5" s="1"/>
  <c r="D551" i="5" a="1"/>
  <c r="D551" i="5" s="1"/>
  <c r="G551" i="5" s="1"/>
  <c r="D552" i="5" a="1"/>
  <c r="D552" i="5" s="1"/>
  <c r="G552" i="5" s="1"/>
  <c r="D553" i="5" a="1"/>
  <c r="D553" i="5" s="1"/>
  <c r="G553" i="5" s="1"/>
  <c r="D554" i="5" a="1"/>
  <c r="D554" i="5" s="1"/>
  <c r="G554" i="5" s="1"/>
  <c r="D555" i="5" a="1"/>
  <c r="D555" i="5" s="1"/>
  <c r="G555" i="5" s="1"/>
  <c r="D556" i="5" a="1"/>
  <c r="D556" i="5" s="1"/>
  <c r="G556" i="5" s="1"/>
  <c r="D557" i="5" a="1"/>
  <c r="D557" i="5" s="1"/>
  <c r="G557" i="5" s="1"/>
  <c r="D558" i="5" a="1"/>
  <c r="D558" i="5" s="1"/>
  <c r="G558" i="5" s="1"/>
  <c r="D559" i="5" a="1"/>
  <c r="D559" i="5" s="1"/>
  <c r="G559" i="5" s="1"/>
  <c r="D560" i="5" a="1"/>
  <c r="D560" i="5" s="1"/>
  <c r="G560" i="5" s="1"/>
  <c r="D561" i="5" a="1"/>
  <c r="D561" i="5" s="1"/>
  <c r="G561" i="5" s="1"/>
  <c r="D562" i="5" a="1"/>
  <c r="D562" i="5" s="1"/>
  <c r="G562" i="5" s="1"/>
  <c r="D563" i="5" a="1"/>
  <c r="D563" i="5" s="1"/>
  <c r="G563" i="5" s="1"/>
  <c r="D564" i="5" a="1"/>
  <c r="D564" i="5" s="1"/>
  <c r="G564" i="5" s="1"/>
  <c r="D565" i="5" a="1"/>
  <c r="D565" i="5" s="1"/>
  <c r="G565" i="5" s="1"/>
  <c r="D566" i="5" a="1"/>
  <c r="D566" i="5" s="1"/>
  <c r="G566" i="5" s="1"/>
  <c r="D567" i="5" a="1"/>
  <c r="D567" i="5" s="1"/>
  <c r="G567" i="5" s="1"/>
  <c r="D568" i="5" a="1"/>
  <c r="D568" i="5" s="1"/>
  <c r="G568" i="5" s="1"/>
  <c r="D569" i="5" a="1"/>
  <c r="D569" i="5" s="1"/>
  <c r="G569" i="5" s="1"/>
  <c r="D570" i="5" a="1"/>
  <c r="D570" i="5" s="1"/>
  <c r="G570" i="5" s="1"/>
  <c r="D571" i="5" a="1"/>
  <c r="D571" i="5" s="1"/>
  <c r="G571" i="5" s="1"/>
  <c r="D572" i="5" a="1"/>
  <c r="D572" i="5" s="1"/>
  <c r="G572" i="5" s="1"/>
  <c r="D573" i="5" a="1"/>
  <c r="D573" i="5" s="1"/>
  <c r="G573" i="5" s="1"/>
  <c r="D574" i="5" a="1"/>
  <c r="D574" i="5" s="1"/>
  <c r="G574" i="5" s="1"/>
  <c r="D575" i="5" a="1"/>
  <c r="D575" i="5" s="1"/>
  <c r="G575" i="5" s="1"/>
  <c r="D576" i="5" a="1"/>
  <c r="D576" i="5" s="1"/>
  <c r="G576" i="5" s="1"/>
  <c r="D577" i="5" a="1"/>
  <c r="D577" i="5" s="1"/>
  <c r="G577" i="5" s="1"/>
  <c r="D578" i="5" a="1"/>
  <c r="D578" i="5" s="1"/>
  <c r="G578" i="5" s="1"/>
  <c r="D579" i="5" a="1"/>
  <c r="D579" i="5" s="1"/>
  <c r="G579" i="5" s="1"/>
  <c r="D580" i="5" a="1"/>
  <c r="D580" i="5" s="1"/>
  <c r="G580" i="5" s="1"/>
  <c r="D581" i="5" a="1"/>
  <c r="D581" i="5" s="1"/>
  <c r="G581" i="5" s="1"/>
  <c r="D582" i="5" a="1"/>
  <c r="D582" i="5" s="1"/>
  <c r="G582" i="5" s="1"/>
  <c r="D583" i="5" a="1"/>
  <c r="D583" i="5" s="1"/>
  <c r="G583" i="5" s="1"/>
  <c r="D584" i="5" a="1"/>
  <c r="D584" i="5" s="1"/>
  <c r="G584" i="5" s="1"/>
  <c r="D585" i="5" a="1"/>
  <c r="D585" i="5" s="1"/>
  <c r="G585" i="5" s="1"/>
  <c r="D586" i="5" a="1"/>
  <c r="D586" i="5" s="1"/>
  <c r="G586" i="5" s="1"/>
  <c r="D587" i="5" a="1"/>
  <c r="D587" i="5" s="1"/>
  <c r="G587" i="5" s="1"/>
  <c r="D588" i="5" a="1"/>
  <c r="D588" i="5" s="1"/>
  <c r="G588" i="5" s="1"/>
  <c r="D589" i="5" a="1"/>
  <c r="D589" i="5" s="1"/>
  <c r="G589" i="5" s="1"/>
  <c r="D590" i="5" a="1"/>
  <c r="D590" i="5" s="1"/>
  <c r="G590" i="5" s="1"/>
  <c r="D591" i="5" a="1"/>
  <c r="D591" i="5" s="1"/>
  <c r="G591" i="5" s="1"/>
  <c r="D592" i="5" a="1"/>
  <c r="D592" i="5" s="1"/>
  <c r="G592" i="5" s="1"/>
  <c r="D593" i="5" a="1"/>
  <c r="D593" i="5" s="1"/>
  <c r="G593" i="5" s="1"/>
  <c r="D594" i="5" a="1"/>
  <c r="D594" i="5" s="1"/>
  <c r="G594" i="5" s="1"/>
  <c r="D595" i="5" a="1"/>
  <c r="D595" i="5" s="1"/>
  <c r="G595" i="5" s="1"/>
  <c r="D596" i="5" a="1"/>
  <c r="D596" i="5" s="1"/>
  <c r="G596" i="5" s="1"/>
  <c r="D597" i="5" a="1"/>
  <c r="D597" i="5" s="1"/>
  <c r="G597" i="5" s="1"/>
  <c r="D598" i="5" a="1"/>
  <c r="D598" i="5" s="1"/>
  <c r="G598" i="5" s="1"/>
  <c r="D599" i="5" a="1"/>
  <c r="D599" i="5" s="1"/>
  <c r="G599" i="5" s="1"/>
  <c r="D600" i="5" a="1"/>
  <c r="D600" i="5" s="1"/>
  <c r="G600" i="5" s="1"/>
  <c r="D601" i="5" a="1"/>
  <c r="D601" i="5" s="1"/>
  <c r="G601" i="5" s="1"/>
  <c r="D602" i="5" a="1"/>
  <c r="D602" i="5" s="1"/>
  <c r="G602" i="5" s="1"/>
  <c r="D603" i="5" a="1"/>
  <c r="D603" i="5" s="1"/>
  <c r="G603" i="5" s="1"/>
  <c r="D604" i="5" a="1"/>
  <c r="D604" i="5" s="1"/>
  <c r="G604" i="5" s="1"/>
  <c r="D605" i="5" a="1"/>
  <c r="D605" i="5" s="1"/>
  <c r="G605" i="5" s="1"/>
  <c r="D606" i="5" a="1"/>
  <c r="D606" i="5" s="1"/>
  <c r="G606" i="5" s="1"/>
  <c r="D607" i="5" a="1"/>
  <c r="D607" i="5" s="1"/>
  <c r="G607" i="5" s="1"/>
  <c r="D608" i="5" a="1"/>
  <c r="D608" i="5" s="1"/>
  <c r="G608" i="5" s="1"/>
  <c r="D609" i="5" a="1"/>
  <c r="D609" i="5" s="1"/>
  <c r="G609" i="5" s="1"/>
  <c r="D610" i="5" a="1"/>
  <c r="D610" i="5" s="1"/>
  <c r="G610" i="5" s="1"/>
  <c r="D611" i="5" a="1"/>
  <c r="D611" i="5" s="1"/>
  <c r="G611" i="5" s="1"/>
  <c r="D612" i="5" a="1"/>
  <c r="D612" i="5" s="1"/>
  <c r="G612" i="5" s="1"/>
  <c r="D613" i="5" a="1"/>
  <c r="D613" i="5" s="1"/>
  <c r="G613" i="5" s="1"/>
  <c r="D614" i="5" a="1"/>
  <c r="D614" i="5" s="1"/>
  <c r="G614" i="5" s="1"/>
  <c r="D615" i="5" a="1"/>
  <c r="D615" i="5" s="1"/>
  <c r="G615" i="5" s="1"/>
  <c r="D616" i="5" a="1"/>
  <c r="D616" i="5" s="1"/>
  <c r="G616" i="5" s="1"/>
  <c r="D617" i="5" a="1"/>
  <c r="D617" i="5" s="1"/>
  <c r="G617" i="5" s="1"/>
  <c r="D618" i="5" a="1"/>
  <c r="D618" i="5" s="1"/>
  <c r="G618" i="5" s="1"/>
  <c r="D619" i="5" a="1"/>
  <c r="D619" i="5" s="1"/>
  <c r="G619" i="5" s="1"/>
  <c r="D620" i="5" a="1"/>
  <c r="D620" i="5" s="1"/>
  <c r="G620" i="5" s="1"/>
  <c r="D621" i="5" a="1"/>
  <c r="D621" i="5" s="1"/>
  <c r="G621" i="5" s="1"/>
  <c r="D622" i="5" a="1"/>
  <c r="D622" i="5" s="1"/>
  <c r="G622" i="5" s="1"/>
  <c r="D623" i="5" a="1"/>
  <c r="D623" i="5" s="1"/>
  <c r="G623" i="5" s="1"/>
  <c r="D624" i="5" a="1"/>
  <c r="D624" i="5" s="1"/>
  <c r="G624" i="5" s="1"/>
  <c r="D625" i="5" a="1"/>
  <c r="D625" i="5" s="1"/>
  <c r="G625" i="5" s="1"/>
  <c r="D626" i="5" a="1"/>
  <c r="D626" i="5" s="1"/>
  <c r="G626" i="5" s="1"/>
  <c r="D627" i="5" a="1"/>
  <c r="D627" i="5" s="1"/>
  <c r="G627" i="5" s="1"/>
  <c r="D628" i="5" a="1"/>
  <c r="D628" i="5" s="1"/>
  <c r="G628" i="5" s="1"/>
  <c r="D629" i="5" a="1"/>
  <c r="D629" i="5" s="1"/>
  <c r="G629" i="5" s="1"/>
  <c r="D630" i="5" a="1"/>
  <c r="D630" i="5" s="1"/>
  <c r="G630" i="5" s="1"/>
  <c r="D631" i="5" a="1"/>
  <c r="D631" i="5" s="1"/>
  <c r="G631" i="5" s="1"/>
  <c r="D632" i="5" a="1"/>
  <c r="D632" i="5" s="1"/>
  <c r="G632" i="5" s="1"/>
  <c r="D633" i="5" a="1"/>
  <c r="D633" i="5" s="1"/>
  <c r="G633" i="5" s="1"/>
  <c r="D634" i="5" a="1"/>
  <c r="D634" i="5" s="1"/>
  <c r="G634" i="5" s="1"/>
  <c r="D635" i="5" a="1"/>
  <c r="D635" i="5" s="1"/>
  <c r="G635" i="5" s="1"/>
  <c r="D636" i="5" a="1"/>
  <c r="D636" i="5" s="1"/>
  <c r="G636" i="5" s="1"/>
  <c r="D637" i="5" a="1"/>
  <c r="D637" i="5" s="1"/>
  <c r="G637" i="5" s="1"/>
  <c r="D638" i="5" a="1"/>
  <c r="D638" i="5" s="1"/>
  <c r="G638" i="5" s="1"/>
  <c r="D639" i="5" a="1"/>
  <c r="D639" i="5" s="1"/>
  <c r="G639" i="5" s="1"/>
  <c r="D640" i="5" a="1"/>
  <c r="D640" i="5" s="1"/>
  <c r="G640" i="5" s="1"/>
  <c r="D641" i="5" a="1"/>
  <c r="D641" i="5" s="1"/>
  <c r="G641" i="5" s="1"/>
  <c r="D642" i="5" a="1"/>
  <c r="D642" i="5" s="1"/>
  <c r="G642" i="5" s="1"/>
  <c r="D643" i="5" a="1"/>
  <c r="D643" i="5" s="1"/>
  <c r="G643" i="5" s="1"/>
  <c r="D644" i="5" a="1"/>
  <c r="D644" i="5" s="1"/>
  <c r="G644" i="5" s="1"/>
  <c r="D645" i="5" a="1"/>
  <c r="D645" i="5" s="1"/>
  <c r="G645" i="5" s="1"/>
  <c r="D646" i="5" a="1"/>
  <c r="D646" i="5" s="1"/>
  <c r="G646" i="5" s="1"/>
  <c r="D647" i="5" a="1"/>
  <c r="D647" i="5" s="1"/>
  <c r="G647" i="5" s="1"/>
  <c r="D648" i="5" a="1"/>
  <c r="D648" i="5" s="1"/>
  <c r="G648" i="5" s="1"/>
  <c r="D649" i="5" a="1"/>
  <c r="D649" i="5" s="1"/>
  <c r="G649" i="5" s="1"/>
  <c r="D650" i="5" a="1"/>
  <c r="D650" i="5" s="1"/>
  <c r="G650" i="5" s="1"/>
  <c r="D651" i="5" a="1"/>
  <c r="D651" i="5" s="1"/>
  <c r="G651" i="5" s="1"/>
  <c r="D652" i="5" a="1"/>
  <c r="D652" i="5" s="1"/>
  <c r="G652" i="5" s="1"/>
  <c r="D653" i="5" a="1"/>
  <c r="D653" i="5" s="1"/>
  <c r="G653" i="5" s="1"/>
  <c r="D654" i="5" a="1"/>
  <c r="D654" i="5" s="1"/>
  <c r="G654" i="5" s="1"/>
  <c r="D655" i="5" a="1"/>
  <c r="D655" i="5" s="1"/>
  <c r="G655" i="5" s="1"/>
  <c r="D656" i="5" a="1"/>
  <c r="D656" i="5" s="1"/>
  <c r="G656" i="5" s="1"/>
  <c r="D657" i="5" a="1"/>
  <c r="D657" i="5" s="1"/>
  <c r="G657" i="5" s="1"/>
  <c r="D658" i="5" a="1"/>
  <c r="D658" i="5" s="1"/>
  <c r="G658" i="5" s="1"/>
  <c r="D659" i="5" a="1"/>
  <c r="D659" i="5" s="1"/>
  <c r="G659" i="5" s="1"/>
  <c r="D660" i="5" a="1"/>
  <c r="D660" i="5" s="1"/>
  <c r="G660" i="5" s="1"/>
  <c r="D661" i="5" a="1"/>
  <c r="D661" i="5" s="1"/>
  <c r="G661" i="5" s="1"/>
  <c r="D662" i="5" a="1"/>
  <c r="D662" i="5" s="1"/>
  <c r="G662" i="5" s="1"/>
  <c r="D663" i="5" a="1"/>
  <c r="D663" i="5" s="1"/>
  <c r="G663" i="5" s="1"/>
  <c r="D664" i="5" a="1"/>
  <c r="D664" i="5" s="1"/>
  <c r="G664" i="5" s="1"/>
  <c r="D665" i="5" a="1"/>
  <c r="D665" i="5" s="1"/>
  <c r="G665" i="5" s="1"/>
  <c r="D666" i="5" a="1"/>
  <c r="D666" i="5" s="1"/>
  <c r="G666" i="5" s="1"/>
  <c r="D667" i="5" a="1"/>
  <c r="D667" i="5" s="1"/>
  <c r="G667" i="5" s="1"/>
  <c r="D668" i="5" a="1"/>
  <c r="D668" i="5" s="1"/>
  <c r="G668" i="5" s="1"/>
  <c r="D669" i="5" a="1"/>
  <c r="D669" i="5" s="1"/>
  <c r="G669" i="5" s="1"/>
  <c r="D670" i="5" a="1"/>
  <c r="D670" i="5" s="1"/>
  <c r="G670" i="5" s="1"/>
  <c r="D671" i="5" a="1"/>
  <c r="D671" i="5" s="1"/>
  <c r="G671" i="5" s="1"/>
  <c r="D672" i="5" a="1"/>
  <c r="D672" i="5" s="1"/>
  <c r="G672" i="5" s="1"/>
  <c r="D673" i="5" a="1"/>
  <c r="D673" i="5" s="1"/>
  <c r="G673" i="5" s="1"/>
  <c r="D674" i="5" a="1"/>
  <c r="D674" i="5" s="1"/>
  <c r="G674" i="5" s="1"/>
  <c r="D675" i="5" a="1"/>
  <c r="D675" i="5" s="1"/>
  <c r="G675" i="5" s="1"/>
  <c r="D676" i="5" a="1"/>
  <c r="D676" i="5" s="1"/>
  <c r="G676" i="5" s="1"/>
  <c r="D677" i="5" a="1"/>
  <c r="D677" i="5" s="1"/>
  <c r="G677" i="5" s="1"/>
  <c r="D678" i="5" a="1"/>
  <c r="D678" i="5" s="1"/>
  <c r="G678" i="5" s="1"/>
  <c r="D679" i="5" a="1"/>
  <c r="D679" i="5" s="1"/>
  <c r="G679" i="5" s="1"/>
  <c r="D680" i="5" a="1"/>
  <c r="D680" i="5" s="1"/>
  <c r="G680" i="5" s="1"/>
  <c r="D681" i="5" a="1"/>
  <c r="D681" i="5" s="1"/>
  <c r="G681" i="5" s="1"/>
  <c r="D682" i="5" a="1"/>
  <c r="D682" i="5" s="1"/>
  <c r="G682" i="5" s="1"/>
  <c r="D683" i="5" a="1"/>
  <c r="D683" i="5" s="1"/>
  <c r="G683" i="5" s="1"/>
  <c r="D684" i="5" a="1"/>
  <c r="D684" i="5" s="1"/>
  <c r="G684" i="5" s="1"/>
  <c r="D685" i="5" a="1"/>
  <c r="D685" i="5" s="1"/>
  <c r="G685" i="5" s="1"/>
  <c r="D686" i="5" a="1"/>
  <c r="D686" i="5" s="1"/>
  <c r="G686" i="5" s="1"/>
  <c r="D687" i="5" a="1"/>
  <c r="D687" i="5" s="1"/>
  <c r="G687" i="5" s="1"/>
  <c r="D688" i="5" a="1"/>
  <c r="D688" i="5" s="1"/>
  <c r="G688" i="5" s="1"/>
  <c r="D689" i="5" a="1"/>
  <c r="D689" i="5" s="1"/>
  <c r="G689" i="5" s="1"/>
  <c r="D690" i="5" a="1"/>
  <c r="D690" i="5" s="1"/>
  <c r="G690" i="5" s="1"/>
  <c r="D691" i="5" a="1"/>
  <c r="D691" i="5" s="1"/>
  <c r="G691" i="5" s="1"/>
  <c r="D692" i="5" a="1"/>
  <c r="D692" i="5" s="1"/>
  <c r="G692" i="5" s="1"/>
  <c r="D693" i="5" a="1"/>
  <c r="D693" i="5" s="1"/>
  <c r="G693" i="5" s="1"/>
  <c r="D694" i="5" a="1"/>
  <c r="D694" i="5" s="1"/>
  <c r="G694" i="5" s="1"/>
  <c r="D695" i="5" a="1"/>
  <c r="D695" i="5" s="1"/>
  <c r="G695" i="5" s="1"/>
  <c r="D696" i="5" a="1"/>
  <c r="D696" i="5" s="1"/>
  <c r="G696" i="5" s="1"/>
  <c r="D697" i="5" a="1"/>
  <c r="D697" i="5" s="1"/>
  <c r="G697" i="5" s="1"/>
  <c r="D698" i="5" a="1"/>
  <c r="D698" i="5" s="1"/>
  <c r="G698" i="5" s="1"/>
  <c r="D699" i="5" a="1"/>
  <c r="D699" i="5" s="1"/>
  <c r="G699" i="5" s="1"/>
  <c r="D700" i="5" a="1"/>
  <c r="D700" i="5" s="1"/>
  <c r="G700" i="5" s="1"/>
  <c r="D701" i="5" a="1"/>
  <c r="D701" i="5" s="1"/>
  <c r="G701" i="5" s="1"/>
  <c r="D702" i="5" a="1"/>
  <c r="D702" i="5" s="1"/>
  <c r="G702" i="5" s="1"/>
  <c r="D703" i="5" a="1"/>
  <c r="D703" i="5" s="1"/>
  <c r="G703" i="5" s="1"/>
  <c r="D704" i="5" a="1"/>
  <c r="D704" i="5" s="1"/>
  <c r="G704" i="5" s="1"/>
  <c r="D705" i="5" a="1"/>
  <c r="D705" i="5" s="1"/>
  <c r="G705" i="5" s="1"/>
  <c r="D706" i="5" a="1"/>
  <c r="D706" i="5" s="1"/>
  <c r="G706" i="5" s="1"/>
  <c r="D707" i="5" a="1"/>
  <c r="D707" i="5" s="1"/>
  <c r="G707" i="5" s="1"/>
  <c r="D708" i="5" a="1"/>
  <c r="D708" i="5" s="1"/>
  <c r="G708" i="5" s="1"/>
  <c r="D709" i="5" a="1"/>
  <c r="D709" i="5" s="1"/>
  <c r="G709" i="5" s="1"/>
  <c r="D710" i="5" a="1"/>
  <c r="D710" i="5" s="1"/>
  <c r="G710" i="5" s="1"/>
  <c r="D711" i="5" a="1"/>
  <c r="D711" i="5" s="1"/>
  <c r="G711" i="5" s="1"/>
  <c r="D712" i="5" a="1"/>
  <c r="D712" i="5" s="1"/>
  <c r="G712" i="5" s="1"/>
  <c r="D713" i="5" a="1"/>
  <c r="D713" i="5" s="1"/>
  <c r="G713" i="5" s="1"/>
  <c r="D714" i="5" a="1"/>
  <c r="D714" i="5" s="1"/>
  <c r="G714" i="5" s="1"/>
  <c r="D715" i="5" a="1"/>
  <c r="D715" i="5" s="1"/>
  <c r="G715" i="5" s="1"/>
  <c r="D716" i="5" a="1"/>
  <c r="D716" i="5" s="1"/>
  <c r="G716" i="5" s="1"/>
  <c r="D717" i="5" a="1"/>
  <c r="D717" i="5" s="1"/>
  <c r="G717" i="5" s="1"/>
  <c r="D718" i="5" a="1"/>
  <c r="D718" i="5" s="1"/>
  <c r="G718" i="5" s="1"/>
  <c r="D719" i="5" a="1"/>
  <c r="D719" i="5" s="1"/>
  <c r="G719" i="5" s="1"/>
  <c r="D720" i="5" a="1"/>
  <c r="D720" i="5" s="1"/>
  <c r="G720" i="5" s="1"/>
  <c r="D721" i="5" a="1"/>
  <c r="D721" i="5" s="1"/>
  <c r="G721" i="5" s="1"/>
  <c r="D722" i="5" a="1"/>
  <c r="D722" i="5" s="1"/>
  <c r="G722" i="5" s="1"/>
  <c r="D723" i="5" a="1"/>
  <c r="D723" i="5" s="1"/>
  <c r="G723" i="5" s="1"/>
  <c r="D724" i="5" a="1"/>
  <c r="D724" i="5" s="1"/>
  <c r="G724" i="5" s="1"/>
  <c r="D725" i="5" a="1"/>
  <c r="D725" i="5" s="1"/>
  <c r="G725" i="5" s="1"/>
  <c r="D726" i="5" a="1"/>
  <c r="D726" i="5" s="1"/>
  <c r="G726" i="5" s="1"/>
  <c r="D727" i="5" a="1"/>
  <c r="D727" i="5" s="1"/>
  <c r="G727" i="5" s="1"/>
  <c r="D728" i="5" a="1"/>
  <c r="D728" i="5" s="1"/>
  <c r="G728" i="5" s="1"/>
  <c r="D729" i="5" a="1"/>
  <c r="D729" i="5" s="1"/>
  <c r="G729" i="5" s="1"/>
  <c r="D730" i="5" a="1"/>
  <c r="D730" i="5" s="1"/>
  <c r="G730" i="5" s="1"/>
  <c r="D731" i="5" a="1"/>
  <c r="D731" i="5" s="1"/>
  <c r="G731" i="5" s="1"/>
  <c r="D732" i="5" a="1"/>
  <c r="D732" i="5" s="1"/>
  <c r="G732" i="5" s="1"/>
  <c r="D733" i="5" a="1"/>
  <c r="D733" i="5" s="1"/>
  <c r="G733" i="5" s="1"/>
  <c r="D734" i="5" a="1"/>
  <c r="D734" i="5" s="1"/>
  <c r="G734" i="5" s="1"/>
  <c r="D735" i="5" a="1"/>
  <c r="D735" i="5" s="1"/>
  <c r="G735" i="5" s="1"/>
  <c r="D736" i="5" a="1"/>
  <c r="D736" i="5" s="1"/>
  <c r="G736" i="5" s="1"/>
  <c r="D737" i="5" a="1"/>
  <c r="D737" i="5" s="1"/>
  <c r="G737" i="5" s="1"/>
  <c r="D738" i="5" a="1"/>
  <c r="D738" i="5" s="1"/>
  <c r="G738" i="5" s="1"/>
  <c r="D739" i="5" a="1"/>
  <c r="D739" i="5" s="1"/>
  <c r="G739" i="5" s="1"/>
  <c r="D740" i="5" a="1"/>
  <c r="D740" i="5" s="1"/>
  <c r="G740" i="5" s="1"/>
  <c r="D741" i="5" a="1"/>
  <c r="D741" i="5" s="1"/>
  <c r="G741" i="5" s="1"/>
  <c r="D742" i="5" a="1"/>
  <c r="D742" i="5" s="1"/>
  <c r="G742" i="5" s="1"/>
  <c r="D743" i="5" a="1"/>
  <c r="D743" i="5" s="1"/>
  <c r="G743" i="5" s="1"/>
  <c r="D744" i="5" a="1"/>
  <c r="D744" i="5" s="1"/>
  <c r="G744" i="5" s="1"/>
  <c r="D745" i="5" a="1"/>
  <c r="D745" i="5" s="1"/>
  <c r="G745" i="5" s="1"/>
  <c r="D746" i="5" a="1"/>
  <c r="D746" i="5" s="1"/>
  <c r="G746" i="5" s="1"/>
  <c r="D747" i="5" a="1"/>
  <c r="D747" i="5" s="1"/>
  <c r="G747" i="5" s="1"/>
  <c r="D748" i="5" a="1"/>
  <c r="D748" i="5" s="1"/>
  <c r="G748" i="5" s="1"/>
  <c r="D749" i="5" a="1"/>
  <c r="D749" i="5" s="1"/>
  <c r="G749" i="5" s="1"/>
  <c r="D750" i="5" a="1"/>
  <c r="D750" i="5" s="1"/>
  <c r="G750" i="5" s="1"/>
  <c r="D751" i="5" a="1"/>
  <c r="D751" i="5" s="1"/>
  <c r="G751" i="5" s="1"/>
  <c r="D752" i="5" a="1"/>
  <c r="D752" i="5" s="1"/>
  <c r="G752" i="5" s="1"/>
  <c r="D753" i="5" a="1"/>
  <c r="D753" i="5" s="1"/>
  <c r="G753" i="5" s="1"/>
  <c r="D754" i="5" a="1"/>
  <c r="D754" i="5" s="1"/>
  <c r="G754" i="5" s="1"/>
  <c r="D755" i="5" a="1"/>
  <c r="D755" i="5" s="1"/>
  <c r="G755" i="5" s="1"/>
  <c r="D756" i="5" a="1"/>
  <c r="D756" i="5" s="1"/>
  <c r="G756" i="5" s="1"/>
  <c r="D757" i="5" a="1"/>
  <c r="D757" i="5" s="1"/>
  <c r="G757" i="5" s="1"/>
  <c r="D758" i="5" a="1"/>
  <c r="D758" i="5" s="1"/>
  <c r="G758" i="5" s="1"/>
  <c r="D759" i="5" a="1"/>
  <c r="D759" i="5" s="1"/>
  <c r="G759" i="5" s="1"/>
  <c r="D760" i="5" a="1"/>
  <c r="D760" i="5" s="1"/>
  <c r="G760" i="5" s="1"/>
  <c r="D761" i="5" a="1"/>
  <c r="D761" i="5" s="1"/>
  <c r="G761" i="5" s="1"/>
  <c r="D762" i="5" a="1"/>
  <c r="D762" i="5" s="1"/>
  <c r="G762" i="5" s="1"/>
  <c r="D763" i="5" a="1"/>
  <c r="D763" i="5" s="1"/>
  <c r="G763" i="5" s="1"/>
  <c r="D764" i="5" a="1"/>
  <c r="D764" i="5" s="1"/>
  <c r="G764" i="5" s="1"/>
  <c r="D765" i="5" a="1"/>
  <c r="D765" i="5" s="1"/>
  <c r="G765" i="5" s="1"/>
  <c r="D766" i="5" a="1"/>
  <c r="D766" i="5" s="1"/>
  <c r="G766" i="5" s="1"/>
  <c r="D767" i="5" a="1"/>
  <c r="D767" i="5" s="1"/>
  <c r="G767" i="5" s="1"/>
  <c r="D768" i="5" a="1"/>
  <c r="D768" i="5" s="1"/>
  <c r="G768" i="5" s="1"/>
  <c r="D769" i="5" a="1"/>
  <c r="D769" i="5" s="1"/>
  <c r="G769" i="5" s="1"/>
  <c r="D770" i="5" a="1"/>
  <c r="D770" i="5" s="1"/>
  <c r="G770" i="5" s="1"/>
  <c r="D771" i="5" a="1"/>
  <c r="D771" i="5" s="1"/>
  <c r="G771" i="5" s="1"/>
  <c r="D772" i="5" a="1"/>
  <c r="D772" i="5" s="1"/>
  <c r="G772" i="5" s="1"/>
  <c r="D773" i="5" a="1"/>
  <c r="D773" i="5" s="1"/>
  <c r="G773" i="5" s="1"/>
  <c r="D774" i="5" a="1"/>
  <c r="D774" i="5" s="1"/>
  <c r="G774" i="5" s="1"/>
  <c r="D775" i="5" a="1"/>
  <c r="D775" i="5" s="1"/>
  <c r="G775" i="5" s="1"/>
  <c r="D776" i="5" a="1"/>
  <c r="D776" i="5" s="1"/>
  <c r="G776" i="5" s="1"/>
  <c r="D777" i="5" a="1"/>
  <c r="D777" i="5" s="1"/>
  <c r="G777" i="5" s="1"/>
  <c r="D778" i="5" a="1"/>
  <c r="D778" i="5" s="1"/>
  <c r="G778" i="5" s="1"/>
  <c r="D779" i="5" a="1"/>
  <c r="D779" i="5" s="1"/>
  <c r="G779" i="5" s="1"/>
  <c r="D780" i="5" a="1"/>
  <c r="D780" i="5" s="1"/>
  <c r="G780" i="5" s="1"/>
  <c r="D781" i="5" a="1"/>
  <c r="D781" i="5" s="1"/>
  <c r="G781" i="5" s="1"/>
  <c r="D782" i="5" a="1"/>
  <c r="D782" i="5" s="1"/>
  <c r="G782" i="5" s="1"/>
  <c r="D783" i="5" a="1"/>
  <c r="D783" i="5" s="1"/>
  <c r="G783" i="5" s="1"/>
  <c r="D784" i="5" a="1"/>
  <c r="D784" i="5" s="1"/>
  <c r="G784" i="5" s="1"/>
  <c r="D785" i="5" a="1"/>
  <c r="D785" i="5" s="1"/>
  <c r="G785" i="5" s="1"/>
  <c r="D786" i="5" a="1"/>
  <c r="D786" i="5" s="1"/>
  <c r="G786" i="5" s="1"/>
  <c r="D787" i="5" a="1"/>
  <c r="D787" i="5" s="1"/>
  <c r="G787" i="5" s="1"/>
  <c r="D788" i="5" a="1"/>
  <c r="D788" i="5" s="1"/>
  <c r="G788" i="5" s="1"/>
  <c r="D789" i="5" a="1"/>
  <c r="D789" i="5" s="1"/>
  <c r="G789" i="5" s="1"/>
  <c r="D790" i="5" a="1"/>
  <c r="D790" i="5" s="1"/>
  <c r="G790" i="5" s="1"/>
  <c r="D791" i="5" a="1"/>
  <c r="D791" i="5" s="1"/>
  <c r="G791" i="5" s="1"/>
  <c r="D792" i="5" a="1"/>
  <c r="D792" i="5" s="1"/>
  <c r="G792" i="5" s="1"/>
  <c r="D793" i="5" a="1"/>
  <c r="D793" i="5" s="1"/>
  <c r="G793" i="5" s="1"/>
  <c r="D794" i="5" a="1"/>
  <c r="D794" i="5" s="1"/>
  <c r="G794" i="5" s="1"/>
  <c r="D795" i="5" a="1"/>
  <c r="D795" i="5" s="1"/>
  <c r="G795" i="5" s="1"/>
  <c r="D796" i="5" a="1"/>
  <c r="D796" i="5" s="1"/>
  <c r="G796" i="5" s="1"/>
  <c r="D797" i="5" a="1"/>
  <c r="D797" i="5" s="1"/>
  <c r="G797" i="5" s="1"/>
  <c r="D798" i="5" a="1"/>
  <c r="D798" i="5" s="1"/>
  <c r="G798" i="5" s="1"/>
  <c r="D799" i="5" a="1"/>
  <c r="D799" i="5" s="1"/>
  <c r="G799" i="5" s="1"/>
  <c r="D800" i="5" a="1"/>
  <c r="D800" i="5" s="1"/>
  <c r="G800" i="5" s="1"/>
  <c r="D801" i="5" a="1"/>
  <c r="D801" i="5" s="1"/>
  <c r="G801" i="5" s="1"/>
  <c r="D802" i="5" a="1"/>
  <c r="D802" i="5" s="1"/>
  <c r="G802" i="5" s="1"/>
  <c r="D803" i="5" a="1"/>
  <c r="D803" i="5" s="1"/>
  <c r="G803" i="5" s="1"/>
  <c r="D804" i="5" a="1"/>
  <c r="D804" i="5" s="1"/>
  <c r="G804" i="5" s="1"/>
  <c r="D805" i="5" a="1"/>
  <c r="D805" i="5" s="1"/>
  <c r="G805" i="5" s="1"/>
  <c r="D806" i="5" a="1"/>
  <c r="D806" i="5" s="1"/>
  <c r="G806" i="5" s="1"/>
  <c r="D807" i="5" a="1"/>
  <c r="D807" i="5" s="1"/>
  <c r="G807" i="5" s="1"/>
  <c r="D808" i="5" a="1"/>
  <c r="D808" i="5" s="1"/>
  <c r="G808" i="5" s="1"/>
  <c r="D809" i="5" a="1"/>
  <c r="D809" i="5" s="1"/>
  <c r="G809" i="5" s="1"/>
  <c r="D810" i="5" a="1"/>
  <c r="D810" i="5" s="1"/>
  <c r="G810" i="5" s="1"/>
  <c r="D811" i="5" a="1"/>
  <c r="D811" i="5" s="1"/>
  <c r="G811" i="5" s="1"/>
  <c r="D812" i="5" a="1"/>
  <c r="D812" i="5" s="1"/>
  <c r="G812" i="5" s="1"/>
  <c r="D813" i="5" a="1"/>
  <c r="D813" i="5" s="1"/>
  <c r="G813" i="5" s="1"/>
  <c r="D814" i="5" a="1"/>
  <c r="D814" i="5" s="1"/>
  <c r="G814" i="5" s="1"/>
  <c r="D815" i="5" a="1"/>
  <c r="D815" i="5" s="1"/>
  <c r="G815" i="5" s="1"/>
  <c r="D816" i="5" a="1"/>
  <c r="D816" i="5" s="1"/>
  <c r="G816" i="5" s="1"/>
  <c r="D817" i="5" a="1"/>
  <c r="D817" i="5" s="1"/>
  <c r="G817" i="5" s="1"/>
  <c r="D818" i="5" a="1"/>
  <c r="D818" i="5" s="1"/>
  <c r="G818" i="5" s="1"/>
  <c r="D819" i="5" a="1"/>
  <c r="D819" i="5" s="1"/>
  <c r="G819" i="5" s="1"/>
  <c r="D820" i="5" a="1"/>
  <c r="D820" i="5" s="1"/>
  <c r="G820" i="5" s="1"/>
  <c r="D821" i="5" a="1"/>
  <c r="D821" i="5" s="1"/>
  <c r="G821" i="5" s="1"/>
  <c r="D822" i="5" a="1"/>
  <c r="D822" i="5" s="1"/>
  <c r="G822" i="5" s="1"/>
  <c r="D823" i="5" a="1"/>
  <c r="D823" i="5" s="1"/>
  <c r="G823" i="5" s="1"/>
  <c r="D824" i="5" a="1"/>
  <c r="D824" i="5" s="1"/>
  <c r="G824" i="5" s="1"/>
  <c r="D825" i="5" a="1"/>
  <c r="D825" i="5" s="1"/>
  <c r="G825" i="5" s="1"/>
  <c r="D826" i="5" a="1"/>
  <c r="D826" i="5" s="1"/>
  <c r="G826" i="5" s="1"/>
  <c r="D827" i="5" a="1"/>
  <c r="D827" i="5" s="1"/>
  <c r="G827" i="5" s="1"/>
  <c r="D828" i="5" a="1"/>
  <c r="D828" i="5" s="1"/>
  <c r="G828" i="5" s="1"/>
  <c r="D829" i="5" a="1"/>
  <c r="D829" i="5" s="1"/>
  <c r="G829" i="5" s="1"/>
  <c r="D830" i="5" a="1"/>
  <c r="D830" i="5" s="1"/>
  <c r="G830" i="5" s="1"/>
  <c r="D831" i="5" a="1"/>
  <c r="D831" i="5" s="1"/>
  <c r="G831" i="5" s="1"/>
  <c r="D832" i="5" a="1"/>
  <c r="D832" i="5" s="1"/>
  <c r="G832" i="5" s="1"/>
  <c r="D833" i="5" a="1"/>
  <c r="D833" i="5" s="1"/>
  <c r="G833" i="5" s="1"/>
  <c r="D834" i="5" a="1"/>
  <c r="D834" i="5" s="1"/>
  <c r="G834" i="5" s="1"/>
  <c r="D835" i="5" a="1"/>
  <c r="D835" i="5" s="1"/>
  <c r="G835" i="5" s="1"/>
  <c r="D836" i="5" a="1"/>
  <c r="D836" i="5" s="1"/>
  <c r="G836" i="5" s="1"/>
  <c r="D837" i="5" a="1"/>
  <c r="D837" i="5" s="1"/>
  <c r="G837" i="5" s="1"/>
  <c r="D838" i="5" a="1"/>
  <c r="D838" i="5" s="1"/>
  <c r="G838" i="5" s="1"/>
  <c r="D839" i="5" a="1"/>
  <c r="D839" i="5" s="1"/>
  <c r="G839" i="5" s="1"/>
  <c r="D840" i="5" a="1"/>
  <c r="D840" i="5" s="1"/>
  <c r="G840" i="5" s="1"/>
  <c r="D841" i="5" a="1"/>
  <c r="D841" i="5" s="1"/>
  <c r="G841" i="5" s="1"/>
  <c r="D842" i="5" a="1"/>
  <c r="D842" i="5" s="1"/>
  <c r="G842" i="5" s="1"/>
  <c r="D843" i="5" a="1"/>
  <c r="D843" i="5" s="1"/>
  <c r="G843" i="5" s="1"/>
  <c r="D844" i="5" a="1"/>
  <c r="D844" i="5" s="1"/>
  <c r="G844" i="5" s="1"/>
  <c r="D845" i="5" a="1"/>
  <c r="D845" i="5" s="1"/>
  <c r="G845" i="5" s="1"/>
  <c r="D846" i="5" a="1"/>
  <c r="D846" i="5" s="1"/>
  <c r="G846" i="5" s="1"/>
  <c r="D847" i="5" a="1"/>
  <c r="D847" i="5" s="1"/>
  <c r="G847" i="5" s="1"/>
  <c r="D848" i="5" a="1"/>
  <c r="D848" i="5" s="1"/>
  <c r="G848" i="5" s="1"/>
  <c r="D849" i="5" a="1"/>
  <c r="D849" i="5" s="1"/>
  <c r="G849" i="5" s="1"/>
  <c r="D850" i="5" a="1"/>
  <c r="D850" i="5" s="1"/>
  <c r="G850" i="5" s="1"/>
  <c r="D851" i="5" a="1"/>
  <c r="D851" i="5" s="1"/>
  <c r="G851" i="5" s="1"/>
  <c r="D852" i="5" a="1"/>
  <c r="D852" i="5" s="1"/>
  <c r="G852" i="5" s="1"/>
  <c r="D853" i="5" a="1"/>
  <c r="D853" i="5" s="1"/>
  <c r="G853" i="5" s="1"/>
  <c r="D854" i="5" a="1"/>
  <c r="D854" i="5" s="1"/>
  <c r="G854" i="5" s="1"/>
  <c r="D855" i="5" a="1"/>
  <c r="D855" i="5" s="1"/>
  <c r="G855" i="5" s="1"/>
  <c r="D856" i="5" a="1"/>
  <c r="D856" i="5" s="1"/>
  <c r="G856" i="5" s="1"/>
  <c r="D857" i="5" a="1"/>
  <c r="D857" i="5" s="1"/>
  <c r="G857" i="5" s="1"/>
  <c r="D858" i="5" a="1"/>
  <c r="D858" i="5" s="1"/>
  <c r="G858" i="5" s="1"/>
  <c r="D859" i="5" a="1"/>
  <c r="D859" i="5" s="1"/>
  <c r="G859" i="5" s="1"/>
  <c r="D860" i="5" a="1"/>
  <c r="D860" i="5" s="1"/>
  <c r="G860" i="5" s="1"/>
  <c r="D861" i="5" a="1"/>
  <c r="D861" i="5" s="1"/>
  <c r="G861" i="5" s="1"/>
  <c r="D862" i="5" a="1"/>
  <c r="D862" i="5" s="1"/>
  <c r="G862" i="5" s="1"/>
  <c r="D863" i="5" a="1"/>
  <c r="D863" i="5" s="1"/>
  <c r="G863" i="5" s="1"/>
  <c r="D864" i="5" a="1"/>
  <c r="D864" i="5" s="1"/>
  <c r="G864" i="5" s="1"/>
  <c r="D865" i="5" a="1"/>
  <c r="D865" i="5" s="1"/>
  <c r="G865" i="5" s="1"/>
  <c r="D866" i="5" a="1"/>
  <c r="D866" i="5" s="1"/>
  <c r="G866" i="5" s="1"/>
  <c r="D867" i="5" a="1"/>
  <c r="D867" i="5" s="1"/>
  <c r="G867" i="5" s="1"/>
  <c r="D868" i="5" a="1"/>
  <c r="D868" i="5" s="1"/>
  <c r="G868" i="5" s="1"/>
  <c r="D869" i="5" a="1"/>
  <c r="D869" i="5" s="1"/>
  <c r="G869" i="5" s="1"/>
  <c r="D870" i="5" a="1"/>
  <c r="D870" i="5" s="1"/>
  <c r="G870" i="5" s="1"/>
  <c r="D871" i="5" a="1"/>
  <c r="D871" i="5" s="1"/>
  <c r="G871" i="5" s="1"/>
  <c r="D872" i="5" a="1"/>
  <c r="D872" i="5" s="1"/>
  <c r="G872" i="5" s="1"/>
  <c r="D873" i="5" a="1"/>
  <c r="D873" i="5" s="1"/>
  <c r="G873" i="5" s="1"/>
  <c r="D874" i="5" a="1"/>
  <c r="D874" i="5" s="1"/>
  <c r="G874" i="5" s="1"/>
  <c r="D875" i="5" a="1"/>
  <c r="D875" i="5" s="1"/>
  <c r="G875" i="5" s="1"/>
  <c r="D876" i="5" a="1"/>
  <c r="D876" i="5" s="1"/>
  <c r="G876" i="5" s="1"/>
  <c r="D877" i="5" a="1"/>
  <c r="D877" i="5" s="1"/>
  <c r="G877" i="5" s="1"/>
  <c r="D878" i="5" a="1"/>
  <c r="D878" i="5" s="1"/>
  <c r="G878" i="5" s="1"/>
  <c r="D879" i="5" a="1"/>
  <c r="D879" i="5" s="1"/>
  <c r="G879" i="5" s="1"/>
  <c r="D880" i="5" a="1"/>
  <c r="D880" i="5" s="1"/>
  <c r="G880" i="5" s="1"/>
  <c r="D881" i="5" a="1"/>
  <c r="D881" i="5" s="1"/>
  <c r="G881" i="5" s="1"/>
  <c r="D882" i="5" a="1"/>
  <c r="D882" i="5" s="1"/>
  <c r="G882" i="5" s="1"/>
  <c r="D883" i="5" a="1"/>
  <c r="D883" i="5" s="1"/>
  <c r="G883" i="5" s="1"/>
  <c r="D884" i="5" a="1"/>
  <c r="D884" i="5" s="1"/>
  <c r="G884" i="5" s="1"/>
  <c r="D885" i="5" a="1"/>
  <c r="D885" i="5" s="1"/>
  <c r="G885" i="5" s="1"/>
  <c r="D886" i="5" a="1"/>
  <c r="D886" i="5" s="1"/>
  <c r="G886" i="5" s="1"/>
  <c r="D887" i="5" a="1"/>
  <c r="D887" i="5" s="1"/>
  <c r="G887" i="5" s="1"/>
  <c r="D888" i="5" a="1"/>
  <c r="D888" i="5" s="1"/>
  <c r="G888" i="5" s="1"/>
  <c r="D889" i="5" a="1"/>
  <c r="D889" i="5" s="1"/>
  <c r="G889" i="5" s="1"/>
  <c r="D890" i="5" a="1"/>
  <c r="D890" i="5" s="1"/>
  <c r="G890" i="5" s="1"/>
  <c r="D891" i="5" a="1"/>
  <c r="D891" i="5" s="1"/>
  <c r="G891" i="5" s="1"/>
  <c r="D892" i="5" a="1"/>
  <c r="D892" i="5" s="1"/>
  <c r="G892" i="5" s="1"/>
  <c r="D893" i="5" a="1"/>
  <c r="D893" i="5" s="1"/>
  <c r="G893" i="5" s="1"/>
  <c r="D894" i="5" a="1"/>
  <c r="D894" i="5" s="1"/>
  <c r="G894" i="5" s="1"/>
  <c r="D895" i="5" a="1"/>
  <c r="D895" i="5" s="1"/>
  <c r="G895" i="5" s="1"/>
  <c r="D896" i="5" a="1"/>
  <c r="D896" i="5" s="1"/>
  <c r="G896" i="5" s="1"/>
  <c r="D897" i="5" a="1"/>
  <c r="D897" i="5" s="1"/>
  <c r="G897" i="5" s="1"/>
  <c r="D898" i="5" a="1"/>
  <c r="D898" i="5" s="1"/>
  <c r="G898" i="5" s="1"/>
  <c r="D899" i="5" a="1"/>
  <c r="D899" i="5" s="1"/>
  <c r="G899" i="5" s="1"/>
  <c r="D900" i="5" a="1"/>
  <c r="D900" i="5" s="1"/>
  <c r="G900" i="5" s="1"/>
  <c r="D901" i="5" a="1"/>
  <c r="D901" i="5" s="1"/>
  <c r="G901" i="5" s="1"/>
  <c r="D902" i="5" a="1"/>
  <c r="D902" i="5" s="1"/>
  <c r="G902" i="5" s="1"/>
  <c r="D903" i="5" a="1"/>
  <c r="D903" i="5" s="1"/>
  <c r="G903" i="5" s="1"/>
  <c r="D904" i="5" a="1"/>
  <c r="D904" i="5" s="1"/>
  <c r="G904" i="5" s="1"/>
  <c r="D905" i="5" a="1"/>
  <c r="D905" i="5" s="1"/>
  <c r="G905" i="5" s="1"/>
  <c r="D906" i="5" a="1"/>
  <c r="D906" i="5" s="1"/>
  <c r="G906" i="5" s="1"/>
  <c r="D907" i="5" a="1"/>
  <c r="D907" i="5" s="1"/>
  <c r="G907" i="5" s="1"/>
  <c r="D908" i="5" a="1"/>
  <c r="D908" i="5" s="1"/>
  <c r="G908" i="5" s="1"/>
  <c r="D909" i="5" a="1"/>
  <c r="D909" i="5" s="1"/>
  <c r="G909" i="5" s="1"/>
  <c r="D910" i="5" a="1"/>
  <c r="D910" i="5" s="1"/>
  <c r="G910" i="5" s="1"/>
  <c r="D911" i="5" a="1"/>
  <c r="D911" i="5" s="1"/>
  <c r="G911" i="5" s="1"/>
  <c r="D912" i="5" a="1"/>
  <c r="D912" i="5" s="1"/>
  <c r="G912" i="5" s="1"/>
  <c r="D913" i="5" a="1"/>
  <c r="D913" i="5" s="1"/>
  <c r="G913" i="5" s="1"/>
  <c r="D914" i="5" a="1"/>
  <c r="D914" i="5" s="1"/>
  <c r="G914" i="5" s="1"/>
  <c r="D915" i="5" a="1"/>
  <c r="D915" i="5" s="1"/>
  <c r="G915" i="5" s="1"/>
  <c r="D916" i="5" a="1"/>
  <c r="D916" i="5" s="1"/>
  <c r="G916" i="5" s="1"/>
  <c r="D917" i="5" a="1"/>
  <c r="D917" i="5" s="1"/>
  <c r="G917" i="5" s="1"/>
  <c r="D918" i="5" a="1"/>
  <c r="D918" i="5" s="1"/>
  <c r="G918" i="5" s="1"/>
  <c r="D919" i="5" a="1"/>
  <c r="D919" i="5" s="1"/>
  <c r="G919" i="5" s="1"/>
  <c r="D920" i="5" a="1"/>
  <c r="D920" i="5" s="1"/>
  <c r="G920" i="5" s="1"/>
  <c r="D921" i="5" a="1"/>
  <c r="D921" i="5" s="1"/>
  <c r="G921" i="5" s="1"/>
  <c r="D922" i="5" a="1"/>
  <c r="D922" i="5" s="1"/>
  <c r="G922" i="5" s="1"/>
  <c r="D923" i="5" a="1"/>
  <c r="D923" i="5" s="1"/>
  <c r="G923" i="5" s="1"/>
  <c r="D924" i="5" a="1"/>
  <c r="D924" i="5" s="1"/>
  <c r="G924" i="5" s="1"/>
  <c r="D925" i="5" a="1"/>
  <c r="D925" i="5" s="1"/>
  <c r="G925" i="5" s="1"/>
  <c r="D926" i="5" a="1"/>
  <c r="D926" i="5" s="1"/>
  <c r="G926" i="5" s="1"/>
  <c r="D927" i="5" a="1"/>
  <c r="D927" i="5" s="1"/>
  <c r="G927" i="5" s="1"/>
  <c r="D928" i="5" a="1"/>
  <c r="D928" i="5" s="1"/>
  <c r="G928" i="5" s="1"/>
  <c r="D929" i="5" a="1"/>
  <c r="D929" i="5" s="1"/>
  <c r="G929" i="5" s="1"/>
  <c r="D930" i="5" a="1"/>
  <c r="D930" i="5" s="1"/>
  <c r="G930" i="5" s="1"/>
  <c r="D931" i="5" a="1"/>
  <c r="D931" i="5" s="1"/>
  <c r="G931" i="5" s="1"/>
  <c r="D932" i="5" a="1"/>
  <c r="D932" i="5" s="1"/>
  <c r="G932" i="5" s="1"/>
  <c r="D933" i="5" a="1"/>
  <c r="D933" i="5" s="1"/>
  <c r="G933" i="5" s="1"/>
  <c r="D934" i="5" a="1"/>
  <c r="D934" i="5" s="1"/>
  <c r="G934" i="5" s="1"/>
  <c r="D935" i="5" a="1"/>
  <c r="D935" i="5" s="1"/>
  <c r="G935" i="5" s="1"/>
  <c r="D936" i="5" a="1"/>
  <c r="D936" i="5" s="1"/>
  <c r="G936" i="5" s="1"/>
  <c r="D937" i="5" a="1"/>
  <c r="D937" i="5" s="1"/>
  <c r="G937" i="5" s="1"/>
  <c r="D938" i="5" a="1"/>
  <c r="D938" i="5" s="1"/>
  <c r="G938" i="5" s="1"/>
  <c r="D939" i="5" a="1"/>
  <c r="D939" i="5" s="1"/>
  <c r="G939" i="5" s="1"/>
  <c r="D940" i="5" a="1"/>
  <c r="D940" i="5" s="1"/>
  <c r="G940" i="5" s="1"/>
  <c r="D941" i="5" a="1"/>
  <c r="D941" i="5" s="1"/>
  <c r="G941" i="5" s="1"/>
  <c r="D942" i="5" a="1"/>
  <c r="D942" i="5" s="1"/>
  <c r="G942" i="5" s="1"/>
  <c r="D943" i="5" a="1"/>
  <c r="D943" i="5" s="1"/>
  <c r="G943" i="5" s="1"/>
  <c r="D944" i="5" a="1"/>
  <c r="D944" i="5" s="1"/>
  <c r="G944" i="5" s="1"/>
  <c r="D945" i="5" a="1"/>
  <c r="D945" i="5" s="1"/>
  <c r="G945" i="5" s="1"/>
  <c r="D946" i="5" a="1"/>
  <c r="D946" i="5" s="1"/>
  <c r="G946" i="5" s="1"/>
  <c r="D947" i="5" a="1"/>
  <c r="D947" i="5" s="1"/>
  <c r="G947" i="5" s="1"/>
  <c r="D948" i="5" a="1"/>
  <c r="D948" i="5" s="1"/>
  <c r="G948" i="5" s="1"/>
  <c r="D949" i="5" a="1"/>
  <c r="D949" i="5" s="1"/>
  <c r="G949" i="5" s="1"/>
  <c r="D950" i="5" a="1"/>
  <c r="D950" i="5" s="1"/>
  <c r="G950" i="5" s="1"/>
  <c r="D951" i="5" a="1"/>
  <c r="D951" i="5" s="1"/>
  <c r="G951" i="5" s="1"/>
  <c r="D952" i="5" a="1"/>
  <c r="D952" i="5" s="1"/>
  <c r="G952" i="5" s="1"/>
  <c r="D953" i="5" a="1"/>
  <c r="D953" i="5" s="1"/>
  <c r="G953" i="5" s="1"/>
  <c r="D954" i="5" a="1"/>
  <c r="D954" i="5" s="1"/>
  <c r="G954" i="5" s="1"/>
  <c r="D955" i="5" a="1"/>
  <c r="D955" i="5" s="1"/>
  <c r="G955" i="5" s="1"/>
  <c r="D956" i="5" a="1"/>
  <c r="D956" i="5" s="1"/>
  <c r="G956" i="5" s="1"/>
  <c r="D957" i="5" a="1"/>
  <c r="D957" i="5" s="1"/>
  <c r="G957" i="5" s="1"/>
  <c r="D958" i="5" a="1"/>
  <c r="D958" i="5" s="1"/>
  <c r="G958" i="5" s="1"/>
  <c r="D959" i="5" a="1"/>
  <c r="D959" i="5" s="1"/>
  <c r="G959" i="5" s="1"/>
  <c r="D960" i="5" a="1"/>
  <c r="D960" i="5" s="1"/>
  <c r="G960" i="5" s="1"/>
  <c r="D961" i="5" a="1"/>
  <c r="D961" i="5" s="1"/>
  <c r="G961" i="5" s="1"/>
  <c r="D962" i="5" a="1"/>
  <c r="D962" i="5" s="1"/>
  <c r="G962" i="5" s="1"/>
  <c r="D963" i="5" a="1"/>
  <c r="D963" i="5" s="1"/>
  <c r="G963" i="5" s="1"/>
  <c r="D964" i="5" a="1"/>
  <c r="D964" i="5" s="1"/>
  <c r="G964" i="5" s="1"/>
  <c r="D965" i="5" a="1"/>
  <c r="D965" i="5" s="1"/>
  <c r="G965" i="5" s="1"/>
  <c r="D966" i="5" a="1"/>
  <c r="D966" i="5" s="1"/>
  <c r="G966" i="5" s="1"/>
  <c r="D967" i="5" a="1"/>
  <c r="D967" i="5" s="1"/>
  <c r="G967" i="5" s="1"/>
  <c r="D968" i="5" a="1"/>
  <c r="D968" i="5" s="1"/>
  <c r="G968" i="5" s="1"/>
  <c r="D969" i="5" a="1"/>
  <c r="D969" i="5" s="1"/>
  <c r="G969" i="5" s="1"/>
  <c r="D970" i="5" a="1"/>
  <c r="D970" i="5" s="1"/>
  <c r="G970" i="5" s="1"/>
  <c r="D971" i="5" a="1"/>
  <c r="D971" i="5" s="1"/>
  <c r="G971" i="5" s="1"/>
  <c r="D972" i="5" a="1"/>
  <c r="D972" i="5" s="1"/>
  <c r="G972" i="5" s="1"/>
  <c r="D973" i="5" a="1"/>
  <c r="D973" i="5" s="1"/>
  <c r="G973" i="5" s="1"/>
  <c r="D974" i="5" a="1"/>
  <c r="D974" i="5" s="1"/>
  <c r="G974" i="5" s="1"/>
  <c r="D975" i="5" a="1"/>
  <c r="D975" i="5" s="1"/>
  <c r="G975" i="5" s="1"/>
  <c r="D976" i="5" a="1"/>
  <c r="D976" i="5" s="1"/>
  <c r="G976" i="5" s="1"/>
  <c r="D977" i="5" a="1"/>
  <c r="D977" i="5" s="1"/>
  <c r="G977" i="5" s="1"/>
  <c r="D978" i="5" a="1"/>
  <c r="D978" i="5" s="1"/>
  <c r="G978" i="5" s="1"/>
  <c r="D979" i="5" a="1"/>
  <c r="D979" i="5" s="1"/>
  <c r="G979" i="5" s="1"/>
  <c r="D980" i="5" a="1"/>
  <c r="D980" i="5" s="1"/>
  <c r="G980" i="5" s="1"/>
  <c r="D981" i="5" a="1"/>
  <c r="D981" i="5" s="1"/>
  <c r="G981" i="5" s="1"/>
  <c r="D982" i="5" a="1"/>
  <c r="D982" i="5" s="1"/>
  <c r="G982" i="5" s="1"/>
  <c r="D983" i="5" a="1"/>
  <c r="D983" i="5" s="1"/>
  <c r="G983" i="5" s="1"/>
  <c r="D984" i="5" a="1"/>
  <c r="D984" i="5" s="1"/>
  <c r="G984" i="5" s="1"/>
  <c r="D985" i="5" a="1"/>
  <c r="D985" i="5" s="1"/>
  <c r="G985" i="5" s="1"/>
  <c r="D986" i="5" a="1"/>
  <c r="D986" i="5" s="1"/>
  <c r="G986" i="5" s="1"/>
  <c r="D987" i="5" a="1"/>
  <c r="D987" i="5" s="1"/>
  <c r="G987" i="5" s="1"/>
  <c r="D988" i="5" a="1"/>
  <c r="D988" i="5" s="1"/>
  <c r="G988" i="5" s="1"/>
  <c r="D989" i="5" a="1"/>
  <c r="D989" i="5" s="1"/>
  <c r="G989" i="5" s="1"/>
  <c r="D990" i="5" a="1"/>
  <c r="D990" i="5" s="1"/>
  <c r="G990" i="5" s="1"/>
  <c r="D991" i="5" a="1"/>
  <c r="D991" i="5" s="1"/>
  <c r="G991" i="5" s="1"/>
  <c r="D992" i="5" a="1"/>
  <c r="D992" i="5" s="1"/>
  <c r="G992" i="5" s="1"/>
  <c r="D993" i="5" a="1"/>
  <c r="D993" i="5" s="1"/>
  <c r="G993" i="5" s="1"/>
  <c r="D994" i="5" a="1"/>
  <c r="D994" i="5" s="1"/>
  <c r="G994" i="5" s="1"/>
  <c r="D995" i="5" a="1"/>
  <c r="D995" i="5" s="1"/>
  <c r="G995" i="5" s="1"/>
  <c r="D996" i="5" a="1"/>
  <c r="D996" i="5" s="1"/>
  <c r="G996" i="5" s="1"/>
  <c r="D997" i="5" a="1"/>
  <c r="D997" i="5" s="1"/>
  <c r="G997" i="5" s="1"/>
  <c r="D998" i="5" a="1"/>
  <c r="D998" i="5" s="1"/>
  <c r="G998" i="5" s="1"/>
  <c r="D999" i="5" a="1"/>
  <c r="D999" i="5" s="1"/>
  <c r="G999" i="5" s="1"/>
  <c r="D1000" i="5" a="1"/>
  <c r="D1000" i="5" s="1"/>
  <c r="G1000" i="5" s="1"/>
  <c r="D1001" i="5" a="1"/>
  <c r="D1001" i="5" s="1"/>
  <c r="G1001" i="5" s="1"/>
  <c r="C3" i="5" a="1"/>
  <c r="C3" i="5" s="1"/>
  <c r="C5" i="5" a="1"/>
  <c r="C5" i="5" s="1"/>
  <c r="A14" i="5"/>
  <c r="C14" i="5" a="1"/>
  <c r="C14" i="5" s="1"/>
  <c r="A15" i="5"/>
  <c r="C15" i="5" a="1"/>
  <c r="C15" i="5" s="1"/>
  <c r="A16" i="5"/>
  <c r="C16" i="5" a="1"/>
  <c r="C16" i="5" s="1"/>
  <c r="A17" i="5"/>
  <c r="C17" i="5" a="1"/>
  <c r="C17" i="5" s="1"/>
  <c r="A18" i="5"/>
  <c r="C18" i="5" a="1"/>
  <c r="C18" i="5" s="1"/>
  <c r="A19" i="5"/>
  <c r="C19" i="5" a="1"/>
  <c r="C19" i="5" s="1"/>
  <c r="A20" i="5"/>
  <c r="C20" i="5" a="1"/>
  <c r="C20" i="5" s="1"/>
  <c r="A21" i="5"/>
  <c r="C21" i="5" a="1"/>
  <c r="C21" i="5" s="1"/>
  <c r="A22" i="5"/>
  <c r="C22" i="5" a="1"/>
  <c r="C22" i="5" s="1"/>
  <c r="A23" i="5"/>
  <c r="C23" i="5" a="1"/>
  <c r="C23" i="5" s="1"/>
  <c r="A24" i="5"/>
  <c r="C24" i="5" a="1"/>
  <c r="C24" i="5" s="1"/>
  <c r="A25" i="5"/>
  <c r="C25" i="5" a="1"/>
  <c r="C25" i="5" s="1"/>
  <c r="A26" i="5"/>
  <c r="C26" i="5" a="1"/>
  <c r="C26" i="5" s="1"/>
  <c r="A27" i="5"/>
  <c r="C27" i="5" a="1"/>
  <c r="C27" i="5" s="1"/>
  <c r="A28" i="5"/>
  <c r="C28" i="5" a="1"/>
  <c r="C28" i="5" s="1"/>
  <c r="A29" i="5"/>
  <c r="C29" i="5" a="1"/>
  <c r="C29" i="5" s="1"/>
  <c r="A30" i="5"/>
  <c r="C30" i="5" a="1"/>
  <c r="C30" i="5" s="1"/>
  <c r="A31" i="5"/>
  <c r="C31" i="5" a="1"/>
  <c r="C31" i="5" s="1"/>
  <c r="C2" i="5" a="1"/>
  <c r="C2" i="5" s="1"/>
  <c r="C4" i="5" a="1"/>
  <c r="C4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32" i="5" a="1"/>
  <c r="C32" i="5" s="1"/>
  <c r="C33" i="5" a="1"/>
  <c r="C33" i="5" s="1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2" i="5" a="1"/>
  <c r="C42" i="5" s="1"/>
  <c r="C43" i="5" a="1"/>
  <c r="C43" i="5" s="1"/>
  <c r="C44" i="5" a="1"/>
  <c r="C44" i="5" s="1"/>
  <c r="C45" i="5" a="1"/>
  <c r="C45" i="5" s="1"/>
  <c r="C46" i="5" a="1"/>
  <c r="C46" i="5" s="1"/>
  <c r="C47" i="5" a="1"/>
  <c r="C47" i="5" s="1"/>
  <c r="C48" i="5" a="1"/>
  <c r="C48" i="5" s="1"/>
  <c r="C49" i="5" a="1"/>
  <c r="C49" i="5" s="1"/>
  <c r="C50" i="5" a="1"/>
  <c r="C50" i="5" s="1"/>
  <c r="C51" i="5" a="1"/>
  <c r="C51" i="5" s="1"/>
  <c r="C52" i="5" a="1"/>
  <c r="C52" i="5" s="1"/>
  <c r="C53" i="5" a="1"/>
  <c r="C53" i="5" s="1"/>
  <c r="C54" i="5" a="1"/>
  <c r="C54" i="5" s="1"/>
  <c r="C55" i="5" a="1"/>
  <c r="C55" i="5" s="1"/>
  <c r="C56" i="5" a="1"/>
  <c r="C56" i="5" s="1"/>
  <c r="C57" i="5" a="1"/>
  <c r="C57" i="5" s="1"/>
  <c r="C58" i="5" a="1"/>
  <c r="C58" i="5" s="1"/>
  <c r="C59" i="5" a="1"/>
  <c r="C59" i="5" s="1"/>
  <c r="C60" i="5" a="1"/>
  <c r="C60" i="5" s="1"/>
  <c r="C61" i="5" a="1"/>
  <c r="C61" i="5" s="1"/>
  <c r="C62" i="5" a="1"/>
  <c r="C62" i="5" s="1"/>
  <c r="C63" i="5" a="1"/>
  <c r="C63" i="5" s="1"/>
  <c r="C64" i="5" a="1"/>
  <c r="C64" i="5" s="1"/>
  <c r="C65" i="5" a="1"/>
  <c r="C65" i="5" s="1"/>
  <c r="C66" i="5" a="1"/>
  <c r="C66" i="5" s="1"/>
  <c r="C67" i="5" a="1"/>
  <c r="C67" i="5" s="1"/>
  <c r="C68" i="5" a="1"/>
  <c r="C68" i="5" s="1"/>
  <c r="C69" i="5" a="1"/>
  <c r="C69" i="5" s="1"/>
  <c r="C70" i="5" a="1"/>
  <c r="C70" i="5" s="1"/>
  <c r="C71" i="5" a="1"/>
  <c r="C71" i="5" s="1"/>
  <c r="C72" i="5" a="1"/>
  <c r="C72" i="5" s="1"/>
  <c r="C73" i="5" a="1"/>
  <c r="C73" i="5" s="1"/>
  <c r="C74" i="5" a="1"/>
  <c r="C74" i="5" s="1"/>
  <c r="C75" i="5" a="1"/>
  <c r="C75" i="5" s="1"/>
  <c r="C76" i="5" a="1"/>
  <c r="C76" i="5" s="1"/>
  <c r="C77" i="5" a="1"/>
  <c r="C77" i="5" s="1"/>
  <c r="C78" i="5" a="1"/>
  <c r="C78" i="5" s="1"/>
  <c r="C79" i="5" a="1"/>
  <c r="C79" i="5" s="1"/>
  <c r="C80" i="5" a="1"/>
  <c r="C80" i="5" s="1"/>
  <c r="C81" i="5" a="1"/>
  <c r="C81" i="5" s="1"/>
  <c r="C82" i="5" a="1"/>
  <c r="C82" i="5" s="1"/>
  <c r="C83" i="5" a="1"/>
  <c r="C83" i="5" s="1"/>
  <c r="C84" i="5" a="1"/>
  <c r="C84" i="5" s="1"/>
  <c r="C85" i="5" a="1"/>
  <c r="C85" i="5" s="1"/>
  <c r="C86" i="5" a="1"/>
  <c r="C86" i="5" s="1"/>
  <c r="C87" i="5" a="1"/>
  <c r="C87" i="5" s="1"/>
  <c r="C88" i="5" a="1"/>
  <c r="C88" i="5" s="1"/>
  <c r="C89" i="5" a="1"/>
  <c r="C89" i="5" s="1"/>
  <c r="C90" i="5" a="1"/>
  <c r="C90" i="5" s="1"/>
  <c r="C91" i="5" a="1"/>
  <c r="C91" i="5" s="1"/>
  <c r="C92" i="5" a="1"/>
  <c r="C92" i="5" s="1"/>
  <c r="C93" i="5" a="1"/>
  <c r="C93" i="5" s="1"/>
  <c r="C94" i="5" a="1"/>
  <c r="C94" i="5" s="1"/>
  <c r="C95" i="5" a="1"/>
  <c r="C95" i="5" s="1"/>
  <c r="C96" i="5" a="1"/>
  <c r="C96" i="5" s="1"/>
  <c r="C97" i="5" a="1"/>
  <c r="C97" i="5" s="1"/>
  <c r="C98" i="5" a="1"/>
  <c r="C98" i="5" s="1"/>
  <c r="C99" i="5" a="1"/>
  <c r="C99" i="5" s="1"/>
  <c r="C100" i="5" a="1"/>
  <c r="C100" i="5" s="1"/>
  <c r="C101" i="5" a="1"/>
  <c r="C101" i="5" s="1"/>
  <c r="C102" i="5" a="1"/>
  <c r="C102" i="5" s="1"/>
  <c r="C103" i="5" a="1"/>
  <c r="C103" i="5" s="1"/>
  <c r="C104" i="5" a="1"/>
  <c r="C104" i="5" s="1"/>
  <c r="C105" i="5" a="1"/>
  <c r="C105" i="5" s="1"/>
  <c r="C106" i="5" a="1"/>
  <c r="C106" i="5" s="1"/>
  <c r="C107" i="5" a="1"/>
  <c r="C107" i="5" s="1"/>
  <c r="C108" i="5" a="1"/>
  <c r="C108" i="5" s="1"/>
  <c r="C109" i="5" a="1"/>
  <c r="C109" i="5" s="1"/>
  <c r="C110" i="5" a="1"/>
  <c r="C110" i="5" s="1"/>
  <c r="C111" i="5" a="1"/>
  <c r="C111" i="5" s="1"/>
  <c r="C112" i="5" a="1"/>
  <c r="C112" i="5" s="1"/>
  <c r="C113" i="5" a="1"/>
  <c r="C113" i="5" s="1"/>
  <c r="C114" i="5" a="1"/>
  <c r="C114" i="5" s="1"/>
  <c r="C115" i="5" a="1"/>
  <c r="C115" i="5" s="1"/>
  <c r="C116" i="5" a="1"/>
  <c r="C116" i="5" s="1"/>
  <c r="C117" i="5" a="1"/>
  <c r="C117" i="5" s="1"/>
  <c r="C118" i="5" a="1"/>
  <c r="C118" i="5" s="1"/>
  <c r="C119" i="5" a="1"/>
  <c r="C119" i="5" s="1"/>
  <c r="C120" i="5" a="1"/>
  <c r="C120" i="5" s="1"/>
  <c r="C121" i="5" a="1"/>
  <c r="C121" i="5" s="1"/>
  <c r="C122" i="5" a="1"/>
  <c r="C122" i="5" s="1"/>
  <c r="C123" i="5" a="1"/>
  <c r="C123" i="5" s="1"/>
  <c r="C124" i="5" a="1"/>
  <c r="C124" i="5" s="1"/>
  <c r="C125" i="5" a="1"/>
  <c r="C125" i="5" s="1"/>
  <c r="C126" i="5" a="1"/>
  <c r="C126" i="5" s="1"/>
  <c r="C127" i="5" a="1"/>
  <c r="C127" i="5" s="1"/>
  <c r="C128" i="5" a="1"/>
  <c r="C128" i="5" s="1"/>
  <c r="C129" i="5" a="1"/>
  <c r="C129" i="5" s="1"/>
  <c r="C130" i="5" a="1"/>
  <c r="C130" i="5" s="1"/>
  <c r="C131" i="5" a="1"/>
  <c r="C131" i="5" s="1"/>
  <c r="C132" i="5" a="1"/>
  <c r="C132" i="5" s="1"/>
  <c r="C133" i="5" a="1"/>
  <c r="C133" i="5" s="1"/>
  <c r="C134" i="5" a="1"/>
  <c r="C134" i="5" s="1"/>
  <c r="C135" i="5" a="1"/>
  <c r="C135" i="5" s="1"/>
  <c r="C136" i="5" a="1"/>
  <c r="C136" i="5" s="1"/>
  <c r="C137" i="5" a="1"/>
  <c r="C137" i="5" s="1"/>
  <c r="C138" i="5" a="1"/>
  <c r="C138" i="5" s="1"/>
  <c r="C139" i="5" a="1"/>
  <c r="C139" i="5" s="1"/>
  <c r="C140" i="5" a="1"/>
  <c r="C140" i="5" s="1"/>
  <c r="C141" i="5" a="1"/>
  <c r="C141" i="5" s="1"/>
  <c r="C142" i="5" a="1"/>
  <c r="C142" i="5" s="1"/>
  <c r="C143" i="5" a="1"/>
  <c r="C143" i="5" s="1"/>
  <c r="C144" i="5" a="1"/>
  <c r="C144" i="5" s="1"/>
  <c r="C145" i="5" a="1"/>
  <c r="C145" i="5" s="1"/>
  <c r="C146" i="5" a="1"/>
  <c r="C146" i="5" s="1"/>
  <c r="C147" i="5" a="1"/>
  <c r="C147" i="5" s="1"/>
  <c r="C148" i="5" a="1"/>
  <c r="C148" i="5" s="1"/>
  <c r="C149" i="5" a="1"/>
  <c r="C149" i="5" s="1"/>
  <c r="C150" i="5" a="1"/>
  <c r="C150" i="5" s="1"/>
  <c r="C151" i="5" a="1"/>
  <c r="C151" i="5" s="1"/>
  <c r="C152" i="5" a="1"/>
  <c r="C152" i="5" s="1"/>
  <c r="C153" i="5" a="1"/>
  <c r="C153" i="5" s="1"/>
  <c r="C154" i="5" a="1"/>
  <c r="C154" i="5" s="1"/>
  <c r="C155" i="5" a="1"/>
  <c r="C155" i="5" s="1"/>
  <c r="C156" i="5" a="1"/>
  <c r="C156" i="5" s="1"/>
  <c r="C157" i="5" a="1"/>
  <c r="C157" i="5" s="1"/>
  <c r="C158" i="5" a="1"/>
  <c r="C158" i="5" s="1"/>
  <c r="C159" i="5" a="1"/>
  <c r="C159" i="5" s="1"/>
  <c r="C160" i="5" a="1"/>
  <c r="C160" i="5" s="1"/>
  <c r="C161" i="5" a="1"/>
  <c r="C161" i="5" s="1"/>
  <c r="C162" i="5" a="1"/>
  <c r="C162" i="5" s="1"/>
  <c r="C163" i="5" a="1"/>
  <c r="C163" i="5" s="1"/>
  <c r="C164" i="5" a="1"/>
  <c r="C164" i="5" s="1"/>
  <c r="C165" i="5" a="1"/>
  <c r="C165" i="5" s="1"/>
  <c r="C166" i="5" a="1"/>
  <c r="C166" i="5" s="1"/>
  <c r="C167" i="5" a="1"/>
  <c r="C167" i="5" s="1"/>
  <c r="C168" i="5" a="1"/>
  <c r="C168" i="5" s="1"/>
  <c r="C169" i="5" a="1"/>
  <c r="C169" i="5" s="1"/>
  <c r="C170" i="5" a="1"/>
  <c r="C170" i="5" s="1"/>
  <c r="C171" i="5" a="1"/>
  <c r="C171" i="5" s="1"/>
  <c r="C172" i="5" a="1"/>
  <c r="C172" i="5" s="1"/>
  <c r="C173" i="5" a="1"/>
  <c r="C173" i="5" s="1"/>
  <c r="C174" i="5" a="1"/>
  <c r="C174" i="5" s="1"/>
  <c r="C175" i="5" a="1"/>
  <c r="C175" i="5" s="1"/>
  <c r="C176" i="5" a="1"/>
  <c r="C176" i="5" s="1"/>
  <c r="C177" i="5" a="1"/>
  <c r="C177" i="5" s="1"/>
  <c r="C178" i="5" a="1"/>
  <c r="C178" i="5" s="1"/>
  <c r="C179" i="5" a="1"/>
  <c r="C179" i="5" s="1"/>
  <c r="C180" i="5" a="1"/>
  <c r="C180" i="5" s="1"/>
  <c r="C181" i="5" a="1"/>
  <c r="C181" i="5" s="1"/>
  <c r="C182" i="5" a="1"/>
  <c r="C182" i="5" s="1"/>
  <c r="C183" i="5" a="1"/>
  <c r="C183" i="5" s="1"/>
  <c r="C184" i="5" a="1"/>
  <c r="C184" i="5" s="1"/>
  <c r="C185" i="5" a="1"/>
  <c r="C185" i="5" s="1"/>
  <c r="C186" i="5" a="1"/>
  <c r="C186" i="5" s="1"/>
  <c r="C187" i="5" a="1"/>
  <c r="C187" i="5" s="1"/>
  <c r="C188" i="5" a="1"/>
  <c r="C188" i="5" s="1"/>
  <c r="C189" i="5" a="1"/>
  <c r="C189" i="5" s="1"/>
  <c r="C190" i="5" a="1"/>
  <c r="C190" i="5" s="1"/>
  <c r="C191" i="5" a="1"/>
  <c r="C191" i="5" s="1"/>
  <c r="C192" i="5" a="1"/>
  <c r="C192" i="5" s="1"/>
  <c r="C193" i="5" a="1"/>
  <c r="C193" i="5" s="1"/>
  <c r="C194" i="5" a="1"/>
  <c r="C194" i="5" s="1"/>
  <c r="C195" i="5" a="1"/>
  <c r="C195" i="5" s="1"/>
  <c r="C196" i="5" a="1"/>
  <c r="C196" i="5" s="1"/>
  <c r="C197" i="5" a="1"/>
  <c r="C197" i="5" s="1"/>
  <c r="C198" i="5" a="1"/>
  <c r="C198" i="5" s="1"/>
  <c r="C199" i="5" a="1"/>
  <c r="C199" i="5" s="1"/>
  <c r="C200" i="5" a="1"/>
  <c r="C200" i="5" s="1"/>
  <c r="C201" i="5" a="1"/>
  <c r="C201" i="5" s="1"/>
  <c r="C202" i="5" a="1"/>
  <c r="C202" i="5" s="1"/>
  <c r="C203" i="5" a="1"/>
  <c r="C203" i="5" s="1"/>
  <c r="C204" i="5" a="1"/>
  <c r="C204" i="5" s="1"/>
  <c r="C205" i="5" a="1"/>
  <c r="C205" i="5" s="1"/>
  <c r="C206" i="5" a="1"/>
  <c r="C206" i="5" s="1"/>
  <c r="C207" i="5" a="1"/>
  <c r="C207" i="5" s="1"/>
  <c r="C208" i="5" a="1"/>
  <c r="C208" i="5" s="1"/>
  <c r="C209" i="5" a="1"/>
  <c r="C209" i="5" s="1"/>
  <c r="C210" i="5" a="1"/>
  <c r="C210" i="5" s="1"/>
  <c r="C211" i="5" a="1"/>
  <c r="C211" i="5" s="1"/>
  <c r="C212" i="5" a="1"/>
  <c r="C212" i="5" s="1"/>
  <c r="C213" i="5" a="1"/>
  <c r="C213" i="5" s="1"/>
  <c r="C214" i="5" a="1"/>
  <c r="C214" i="5" s="1"/>
  <c r="C215" i="5" a="1"/>
  <c r="C215" i="5" s="1"/>
  <c r="C216" i="5" a="1"/>
  <c r="C216" i="5" s="1"/>
  <c r="C217" i="5" a="1"/>
  <c r="C217" i="5" s="1"/>
  <c r="C218" i="5" a="1"/>
  <c r="C218" i="5" s="1"/>
  <c r="C219" i="5" a="1"/>
  <c r="C219" i="5" s="1"/>
  <c r="C220" i="5" a="1"/>
  <c r="C220" i="5" s="1"/>
  <c r="C221" i="5" a="1"/>
  <c r="C221" i="5" s="1"/>
  <c r="C222" i="5" a="1"/>
  <c r="C222" i="5" s="1"/>
  <c r="C223" i="5" a="1"/>
  <c r="C223" i="5" s="1"/>
  <c r="C224" i="5" a="1"/>
  <c r="C224" i="5" s="1"/>
  <c r="C225" i="5" a="1"/>
  <c r="C225" i="5" s="1"/>
  <c r="C226" i="5" a="1"/>
  <c r="C226" i="5" s="1"/>
  <c r="C227" i="5" a="1"/>
  <c r="C227" i="5" s="1"/>
  <c r="C228" i="5" a="1"/>
  <c r="C228" i="5" s="1"/>
  <c r="C229" i="5" a="1"/>
  <c r="C229" i="5" s="1"/>
  <c r="C230" i="5" a="1"/>
  <c r="C230" i="5" s="1"/>
  <c r="C231" i="5" a="1"/>
  <c r="C231" i="5" s="1"/>
  <c r="C232" i="5" a="1"/>
  <c r="C232" i="5" s="1"/>
  <c r="C233" i="5" a="1"/>
  <c r="C233" i="5" s="1"/>
  <c r="C234" i="5" a="1"/>
  <c r="C234" i="5" s="1"/>
  <c r="C235" i="5" a="1"/>
  <c r="C235" i="5" s="1"/>
  <c r="C236" i="5" a="1"/>
  <c r="C236" i="5" s="1"/>
  <c r="C237" i="5" a="1"/>
  <c r="C237" i="5" s="1"/>
  <c r="C238" i="5" a="1"/>
  <c r="C238" i="5" s="1"/>
  <c r="C239" i="5" a="1"/>
  <c r="C239" i="5" s="1"/>
  <c r="C240" i="5" a="1"/>
  <c r="C240" i="5" s="1"/>
  <c r="C241" i="5" a="1"/>
  <c r="C241" i="5" s="1"/>
  <c r="C242" i="5" a="1"/>
  <c r="C242" i="5" s="1"/>
  <c r="C243" i="5" a="1"/>
  <c r="C243" i="5" s="1"/>
  <c r="C244" i="5" a="1"/>
  <c r="C244" i="5" s="1"/>
  <c r="C245" i="5" a="1"/>
  <c r="C245" i="5" s="1"/>
  <c r="C246" i="5" a="1"/>
  <c r="C246" i="5" s="1"/>
  <c r="C247" i="5" a="1"/>
  <c r="C247" i="5" s="1"/>
  <c r="C248" i="5" a="1"/>
  <c r="C248" i="5" s="1"/>
  <c r="C249" i="5" a="1"/>
  <c r="C249" i="5" s="1"/>
  <c r="C250" i="5" a="1"/>
  <c r="C250" i="5" s="1"/>
  <c r="C251" i="5" a="1"/>
  <c r="C251" i="5" s="1"/>
  <c r="C252" i="5" a="1"/>
  <c r="C252" i="5" s="1"/>
  <c r="C253" i="5" a="1"/>
  <c r="C253" i="5" s="1"/>
  <c r="C254" i="5" a="1"/>
  <c r="C254" i="5" s="1"/>
  <c r="C255" i="5" a="1"/>
  <c r="C255" i="5" s="1"/>
  <c r="C256" i="5" a="1"/>
  <c r="C256" i="5" s="1"/>
  <c r="C257" i="5" a="1"/>
  <c r="C257" i="5" s="1"/>
  <c r="C258" i="5" a="1"/>
  <c r="C258" i="5" s="1"/>
  <c r="C259" i="5" a="1"/>
  <c r="C259" i="5" s="1"/>
  <c r="C260" i="5" a="1"/>
  <c r="C260" i="5" s="1"/>
  <c r="C261" i="5" a="1"/>
  <c r="C261" i="5" s="1"/>
  <c r="C262" i="5" a="1"/>
  <c r="C262" i="5" s="1"/>
  <c r="C263" i="5" a="1"/>
  <c r="C263" i="5" s="1"/>
  <c r="C264" i="5" a="1"/>
  <c r="C264" i="5" s="1"/>
  <c r="C265" i="5" a="1"/>
  <c r="C265" i="5" s="1"/>
  <c r="C266" i="5" a="1"/>
  <c r="C266" i="5" s="1"/>
  <c r="C267" i="5" a="1"/>
  <c r="C267" i="5" s="1"/>
  <c r="C268" i="5" a="1"/>
  <c r="C268" i="5" s="1"/>
  <c r="C269" i="5" a="1"/>
  <c r="C269" i="5" s="1"/>
  <c r="C270" i="5" a="1"/>
  <c r="C270" i="5" s="1"/>
  <c r="C271" i="5" a="1"/>
  <c r="C271" i="5" s="1"/>
  <c r="C272" i="5" a="1"/>
  <c r="C272" i="5" s="1"/>
  <c r="C273" i="5" a="1"/>
  <c r="C273" i="5" s="1"/>
  <c r="C274" i="5" a="1"/>
  <c r="C274" i="5" s="1"/>
  <c r="C275" i="5" a="1"/>
  <c r="C275" i="5" s="1"/>
  <c r="C276" i="5" a="1"/>
  <c r="C276" i="5" s="1"/>
  <c r="C277" i="5" a="1"/>
  <c r="C277" i="5" s="1"/>
  <c r="C278" i="5" a="1"/>
  <c r="C278" i="5" s="1"/>
  <c r="C279" i="5" a="1"/>
  <c r="C279" i="5" s="1"/>
  <c r="C280" i="5" a="1"/>
  <c r="C280" i="5" s="1"/>
  <c r="C281" i="5" a="1"/>
  <c r="C281" i="5" s="1"/>
  <c r="C282" i="5" a="1"/>
  <c r="C282" i="5" s="1"/>
  <c r="C283" i="5" a="1"/>
  <c r="C283" i="5" s="1"/>
  <c r="C284" i="5" a="1"/>
  <c r="C284" i="5" s="1"/>
  <c r="C285" i="5" a="1"/>
  <c r="C285" i="5" s="1"/>
  <c r="C286" i="5" a="1"/>
  <c r="C286" i="5" s="1"/>
  <c r="C287" i="5" a="1"/>
  <c r="C287" i="5" s="1"/>
  <c r="C288" i="5" a="1"/>
  <c r="C288" i="5" s="1"/>
  <c r="C289" i="5" a="1"/>
  <c r="C289" i="5" s="1"/>
  <c r="C290" i="5" a="1"/>
  <c r="C290" i="5" s="1"/>
  <c r="C291" i="5" a="1"/>
  <c r="C291" i="5" s="1"/>
  <c r="C292" i="5" a="1"/>
  <c r="C292" i="5" s="1"/>
  <c r="C293" i="5" a="1"/>
  <c r="C293" i="5" s="1"/>
  <c r="C294" i="5" a="1"/>
  <c r="C294" i="5" s="1"/>
  <c r="C295" i="5" a="1"/>
  <c r="C295" i="5" s="1"/>
  <c r="C296" i="5" a="1"/>
  <c r="C296" i="5" s="1"/>
  <c r="C297" i="5" a="1"/>
  <c r="C297" i="5" s="1"/>
  <c r="C298" i="5" a="1"/>
  <c r="C298" i="5" s="1"/>
  <c r="C299" i="5" a="1"/>
  <c r="C299" i="5" s="1"/>
  <c r="C300" i="5" a="1"/>
  <c r="C300" i="5" s="1"/>
  <c r="C301" i="5" a="1"/>
  <c r="C301" i="5" s="1"/>
  <c r="C302" i="5" a="1"/>
  <c r="C302" i="5" s="1"/>
  <c r="C303" i="5" a="1"/>
  <c r="C303" i="5" s="1"/>
  <c r="C304" i="5" a="1"/>
  <c r="C304" i="5" s="1"/>
  <c r="C305" i="5" a="1"/>
  <c r="C305" i="5" s="1"/>
  <c r="C306" i="5" a="1"/>
  <c r="C306" i="5" s="1"/>
  <c r="C307" i="5" a="1"/>
  <c r="C307" i="5" s="1"/>
  <c r="C308" i="5" a="1"/>
  <c r="C308" i="5" s="1"/>
  <c r="C309" i="5" a="1"/>
  <c r="C309" i="5" s="1"/>
  <c r="C310" i="5" a="1"/>
  <c r="C310" i="5" s="1"/>
  <c r="C311" i="5" a="1"/>
  <c r="C311" i="5" s="1"/>
  <c r="C312" i="5" a="1"/>
  <c r="C312" i="5" s="1"/>
  <c r="C313" i="5" a="1"/>
  <c r="C313" i="5" s="1"/>
  <c r="C314" i="5" a="1"/>
  <c r="C314" i="5" s="1"/>
  <c r="C315" i="5" a="1"/>
  <c r="C315" i="5" s="1"/>
  <c r="C316" i="5" a="1"/>
  <c r="C316" i="5" s="1"/>
  <c r="C317" i="5" a="1"/>
  <c r="C317" i="5" s="1"/>
  <c r="C318" i="5" a="1"/>
  <c r="C318" i="5" s="1"/>
  <c r="C319" i="5" a="1"/>
  <c r="C319" i="5" s="1"/>
  <c r="C320" i="5" a="1"/>
  <c r="C320" i="5" s="1"/>
  <c r="C321" i="5" a="1"/>
  <c r="C321" i="5" s="1"/>
  <c r="C322" i="5" a="1"/>
  <c r="C322" i="5" s="1"/>
  <c r="C323" i="5" a="1"/>
  <c r="C323" i="5" s="1"/>
  <c r="C324" i="5" a="1"/>
  <c r="C324" i="5" s="1"/>
  <c r="C325" i="5" a="1"/>
  <c r="C325" i="5" s="1"/>
  <c r="C326" i="5" a="1"/>
  <c r="C326" i="5" s="1"/>
  <c r="C327" i="5" a="1"/>
  <c r="C327" i="5" s="1"/>
  <c r="C328" i="5" a="1"/>
  <c r="C328" i="5" s="1"/>
  <c r="C329" i="5" a="1"/>
  <c r="C329" i="5" s="1"/>
  <c r="C330" i="5" a="1"/>
  <c r="C330" i="5" s="1"/>
  <c r="C331" i="5" a="1"/>
  <c r="C331" i="5" s="1"/>
  <c r="C332" i="5" a="1"/>
  <c r="C332" i="5" s="1"/>
  <c r="C333" i="5" a="1"/>
  <c r="C333" i="5" s="1"/>
  <c r="C334" i="5" a="1"/>
  <c r="C334" i="5" s="1"/>
  <c r="C335" i="5" a="1"/>
  <c r="C335" i="5" s="1"/>
  <c r="C336" i="5" a="1"/>
  <c r="C336" i="5" s="1"/>
  <c r="C337" i="5" a="1"/>
  <c r="C337" i="5" s="1"/>
  <c r="C338" i="5" a="1"/>
  <c r="C338" i="5" s="1"/>
  <c r="C339" i="5" a="1"/>
  <c r="C339" i="5" s="1"/>
  <c r="C340" i="5" a="1"/>
  <c r="C340" i="5" s="1"/>
  <c r="C341" i="5" a="1"/>
  <c r="C341" i="5" s="1"/>
  <c r="C342" i="5" a="1"/>
  <c r="C342" i="5" s="1"/>
  <c r="C343" i="5" a="1"/>
  <c r="C343" i="5" s="1"/>
  <c r="C344" i="5" a="1"/>
  <c r="C344" i="5" s="1"/>
  <c r="C345" i="5" a="1"/>
  <c r="C345" i="5" s="1"/>
  <c r="C346" i="5" a="1"/>
  <c r="C346" i="5" s="1"/>
  <c r="C347" i="5" a="1"/>
  <c r="C347" i="5" s="1"/>
  <c r="C348" i="5" a="1"/>
  <c r="C348" i="5" s="1"/>
  <c r="C349" i="5" a="1"/>
  <c r="C349" i="5" s="1"/>
  <c r="C350" i="5" a="1"/>
  <c r="C350" i="5" s="1"/>
  <c r="C351" i="5" a="1"/>
  <c r="C351" i="5" s="1"/>
  <c r="C352" i="5" a="1"/>
  <c r="C352" i="5" s="1"/>
  <c r="C353" i="5" a="1"/>
  <c r="C353" i="5" s="1"/>
  <c r="C354" i="5" a="1"/>
  <c r="C354" i="5" s="1"/>
  <c r="C355" i="5" a="1"/>
  <c r="C355" i="5" s="1"/>
  <c r="C356" i="5" a="1"/>
  <c r="C356" i="5" s="1"/>
  <c r="C357" i="5" a="1"/>
  <c r="C357" i="5" s="1"/>
  <c r="C358" i="5" a="1"/>
  <c r="C358" i="5" s="1"/>
  <c r="C359" i="5" a="1"/>
  <c r="C359" i="5" s="1"/>
  <c r="C360" i="5" a="1"/>
  <c r="C360" i="5" s="1"/>
  <c r="C361" i="5" a="1"/>
  <c r="C361" i="5" s="1"/>
  <c r="C362" i="5" a="1"/>
  <c r="C362" i="5" s="1"/>
  <c r="C363" i="5" a="1"/>
  <c r="C363" i="5" s="1"/>
  <c r="C364" i="5" a="1"/>
  <c r="C364" i="5" s="1"/>
  <c r="C365" i="5" a="1"/>
  <c r="C365" i="5" s="1"/>
  <c r="C366" i="5" a="1"/>
  <c r="C366" i="5" s="1"/>
  <c r="C367" i="5" a="1"/>
  <c r="C367" i="5" s="1"/>
  <c r="C368" i="5" a="1"/>
  <c r="C368" i="5" s="1"/>
  <c r="C369" i="5" a="1"/>
  <c r="C369" i="5" s="1"/>
  <c r="C370" i="5" a="1"/>
  <c r="C370" i="5" s="1"/>
  <c r="C371" i="5" a="1"/>
  <c r="C371" i="5" s="1"/>
  <c r="C372" i="5" a="1"/>
  <c r="C372" i="5" s="1"/>
  <c r="C373" i="5" a="1"/>
  <c r="C373" i="5" s="1"/>
  <c r="C374" i="5" a="1"/>
  <c r="C374" i="5" s="1"/>
  <c r="C375" i="5" a="1"/>
  <c r="C375" i="5" s="1"/>
  <c r="C376" i="5" a="1"/>
  <c r="C376" i="5" s="1"/>
  <c r="C377" i="5" a="1"/>
  <c r="C377" i="5" s="1"/>
  <c r="C378" i="5" a="1"/>
  <c r="C378" i="5" s="1"/>
  <c r="C379" i="5" a="1"/>
  <c r="C379" i="5" s="1"/>
  <c r="C380" i="5" a="1"/>
  <c r="C380" i="5" s="1"/>
  <c r="C381" i="5" a="1"/>
  <c r="C381" i="5" s="1"/>
  <c r="C382" i="5" a="1"/>
  <c r="C382" i="5" s="1"/>
  <c r="C383" i="5" a="1"/>
  <c r="C383" i="5" s="1"/>
  <c r="C384" i="5" a="1"/>
  <c r="C384" i="5" s="1"/>
  <c r="C385" i="5" a="1"/>
  <c r="C385" i="5" s="1"/>
  <c r="C386" i="5" a="1"/>
  <c r="C386" i="5" s="1"/>
  <c r="C387" i="5" a="1"/>
  <c r="C387" i="5" s="1"/>
  <c r="C388" i="5" a="1"/>
  <c r="C388" i="5" s="1"/>
  <c r="C389" i="5" a="1"/>
  <c r="C389" i="5" s="1"/>
  <c r="C390" i="5" a="1"/>
  <c r="C390" i="5" s="1"/>
  <c r="C391" i="5" a="1"/>
  <c r="C391" i="5" s="1"/>
  <c r="C392" i="5" a="1"/>
  <c r="C392" i="5" s="1"/>
  <c r="C393" i="5" a="1"/>
  <c r="C393" i="5" s="1"/>
  <c r="C394" i="5" a="1"/>
  <c r="C394" i="5" s="1"/>
  <c r="C395" i="5" a="1"/>
  <c r="C395" i="5" s="1"/>
  <c r="C396" i="5" a="1"/>
  <c r="C396" i="5" s="1"/>
  <c r="C397" i="5" a="1"/>
  <c r="C397" i="5" s="1"/>
  <c r="C398" i="5" a="1"/>
  <c r="C398" i="5" s="1"/>
  <c r="C399" i="5" a="1"/>
  <c r="C399" i="5" s="1"/>
  <c r="C400" i="5" a="1"/>
  <c r="C400" i="5" s="1"/>
  <c r="C401" i="5" a="1"/>
  <c r="C401" i="5" s="1"/>
  <c r="C402" i="5" a="1"/>
  <c r="C402" i="5" s="1"/>
  <c r="C403" i="5" a="1"/>
  <c r="C403" i="5" s="1"/>
  <c r="C404" i="5" a="1"/>
  <c r="C404" i="5" s="1"/>
  <c r="C405" i="5" a="1"/>
  <c r="C405" i="5" s="1"/>
  <c r="C406" i="5" a="1"/>
  <c r="C406" i="5" s="1"/>
  <c r="C407" i="5" a="1"/>
  <c r="C407" i="5" s="1"/>
  <c r="C408" i="5" a="1"/>
  <c r="C408" i="5" s="1"/>
  <c r="C409" i="5" a="1"/>
  <c r="C409" i="5" s="1"/>
  <c r="C410" i="5" a="1"/>
  <c r="C410" i="5" s="1"/>
  <c r="C411" i="5" a="1"/>
  <c r="C411" i="5" s="1"/>
  <c r="C412" i="5" a="1"/>
  <c r="C412" i="5" s="1"/>
  <c r="C413" i="5" a="1"/>
  <c r="C413" i="5" s="1"/>
  <c r="C414" i="5" a="1"/>
  <c r="C414" i="5" s="1"/>
  <c r="C415" i="5" a="1"/>
  <c r="C415" i="5" s="1"/>
  <c r="C416" i="5" a="1"/>
  <c r="C416" i="5" s="1"/>
  <c r="C417" i="5" a="1"/>
  <c r="C417" i="5" s="1"/>
  <c r="C418" i="5" a="1"/>
  <c r="C418" i="5" s="1"/>
  <c r="C419" i="5" a="1"/>
  <c r="C419" i="5" s="1"/>
  <c r="C420" i="5" a="1"/>
  <c r="C420" i="5" s="1"/>
  <c r="C421" i="5" a="1"/>
  <c r="C421" i="5" s="1"/>
  <c r="C422" i="5" a="1"/>
  <c r="C422" i="5" s="1"/>
  <c r="C423" i="5" a="1"/>
  <c r="C423" i="5" s="1"/>
  <c r="C424" i="5" a="1"/>
  <c r="C424" i="5" s="1"/>
  <c r="C425" i="5" a="1"/>
  <c r="C425" i="5" s="1"/>
  <c r="C426" i="5" a="1"/>
  <c r="C426" i="5" s="1"/>
  <c r="C427" i="5" a="1"/>
  <c r="C427" i="5" s="1"/>
  <c r="C428" i="5" a="1"/>
  <c r="C428" i="5" s="1"/>
  <c r="C429" i="5" a="1"/>
  <c r="C429" i="5" s="1"/>
  <c r="C430" i="5" a="1"/>
  <c r="C430" i="5" s="1"/>
  <c r="C431" i="5" a="1"/>
  <c r="C431" i="5" s="1"/>
  <c r="C432" i="5" a="1"/>
  <c r="C432" i="5" s="1"/>
  <c r="C433" i="5" a="1"/>
  <c r="C433" i="5" s="1"/>
  <c r="C434" i="5" a="1"/>
  <c r="C434" i="5" s="1"/>
  <c r="C435" i="5" a="1"/>
  <c r="C435" i="5" s="1"/>
  <c r="C436" i="5" a="1"/>
  <c r="C436" i="5" s="1"/>
  <c r="C437" i="5" a="1"/>
  <c r="C437" i="5" s="1"/>
  <c r="C438" i="5" a="1"/>
  <c r="C438" i="5" s="1"/>
  <c r="C439" i="5" a="1"/>
  <c r="C439" i="5" s="1"/>
  <c r="C440" i="5" a="1"/>
  <c r="C440" i="5" s="1"/>
  <c r="C441" i="5" a="1"/>
  <c r="C441" i="5" s="1"/>
  <c r="C442" i="5" a="1"/>
  <c r="C442" i="5" s="1"/>
  <c r="C443" i="5" a="1"/>
  <c r="C443" i="5" s="1"/>
  <c r="C444" i="5" a="1"/>
  <c r="C444" i="5" s="1"/>
  <c r="C445" i="5" a="1"/>
  <c r="C445" i="5" s="1"/>
  <c r="C446" i="5" a="1"/>
  <c r="C446" i="5" s="1"/>
  <c r="C447" i="5" a="1"/>
  <c r="C447" i="5" s="1"/>
  <c r="C448" i="5" a="1"/>
  <c r="C448" i="5" s="1"/>
  <c r="C449" i="5" a="1"/>
  <c r="C449" i="5" s="1"/>
  <c r="C450" i="5" a="1"/>
  <c r="C450" i="5" s="1"/>
  <c r="C451" i="5" a="1"/>
  <c r="C451" i="5" s="1"/>
  <c r="C452" i="5" a="1"/>
  <c r="C452" i="5" s="1"/>
  <c r="C453" i="5" a="1"/>
  <c r="C453" i="5" s="1"/>
  <c r="C454" i="5" a="1"/>
  <c r="C454" i="5" s="1"/>
  <c r="C455" i="5" a="1"/>
  <c r="C455" i="5" s="1"/>
  <c r="C456" i="5" a="1"/>
  <c r="C456" i="5" s="1"/>
  <c r="C457" i="5" a="1"/>
  <c r="C457" i="5" s="1"/>
  <c r="C458" i="5" a="1"/>
  <c r="C458" i="5" s="1"/>
  <c r="C459" i="5" a="1"/>
  <c r="C459" i="5" s="1"/>
  <c r="C460" i="5" a="1"/>
  <c r="C460" i="5" s="1"/>
  <c r="C461" i="5" a="1"/>
  <c r="C461" i="5" s="1"/>
  <c r="C462" i="5" a="1"/>
  <c r="C462" i="5" s="1"/>
  <c r="C463" i="5" a="1"/>
  <c r="C463" i="5" s="1"/>
  <c r="C464" i="5" a="1"/>
  <c r="C464" i="5" s="1"/>
  <c r="C465" i="5" a="1"/>
  <c r="C465" i="5" s="1"/>
  <c r="C466" i="5" a="1"/>
  <c r="C466" i="5" s="1"/>
  <c r="C467" i="5" a="1"/>
  <c r="C467" i="5" s="1"/>
  <c r="C468" i="5" a="1"/>
  <c r="C468" i="5" s="1"/>
  <c r="C469" i="5" a="1"/>
  <c r="C469" i="5" s="1"/>
  <c r="C470" i="5" a="1"/>
  <c r="C470" i="5" s="1"/>
  <c r="C471" i="5" a="1"/>
  <c r="C471" i="5" s="1"/>
  <c r="C472" i="5" a="1"/>
  <c r="C472" i="5" s="1"/>
  <c r="C473" i="5" a="1"/>
  <c r="C473" i="5" s="1"/>
  <c r="C474" i="5" a="1"/>
  <c r="C474" i="5" s="1"/>
  <c r="C475" i="5" a="1"/>
  <c r="C475" i="5" s="1"/>
  <c r="C476" i="5" a="1"/>
  <c r="C476" i="5" s="1"/>
  <c r="C477" i="5" a="1"/>
  <c r="C477" i="5" s="1"/>
  <c r="C478" i="5" a="1"/>
  <c r="C478" i="5" s="1"/>
  <c r="C479" i="5" a="1"/>
  <c r="C479" i="5" s="1"/>
  <c r="C480" i="5" a="1"/>
  <c r="C480" i="5" s="1"/>
  <c r="C481" i="5" a="1"/>
  <c r="C481" i="5" s="1"/>
  <c r="C482" i="5" a="1"/>
  <c r="C482" i="5" s="1"/>
  <c r="C483" i="5" a="1"/>
  <c r="C483" i="5" s="1"/>
  <c r="C484" i="5" a="1"/>
  <c r="C484" i="5" s="1"/>
  <c r="C485" i="5" a="1"/>
  <c r="C485" i="5" s="1"/>
  <c r="C486" i="5" a="1"/>
  <c r="C486" i="5" s="1"/>
  <c r="C487" i="5" a="1"/>
  <c r="C487" i="5" s="1"/>
  <c r="C488" i="5" a="1"/>
  <c r="C488" i="5" s="1"/>
  <c r="C489" i="5" a="1"/>
  <c r="C489" i="5" s="1"/>
  <c r="C490" i="5" a="1"/>
  <c r="C490" i="5" s="1"/>
  <c r="C491" i="5" a="1"/>
  <c r="C491" i="5" s="1"/>
  <c r="C492" i="5" a="1"/>
  <c r="C492" i="5" s="1"/>
  <c r="C493" i="5" a="1"/>
  <c r="C493" i="5" s="1"/>
  <c r="C494" i="5" a="1"/>
  <c r="C494" i="5" s="1"/>
  <c r="C495" i="5" a="1"/>
  <c r="C495" i="5" s="1"/>
  <c r="C496" i="5" a="1"/>
  <c r="C496" i="5" s="1"/>
  <c r="C497" i="5" a="1"/>
  <c r="C497" i="5" s="1"/>
  <c r="C498" i="5" a="1"/>
  <c r="C498" i="5" s="1"/>
  <c r="C499" i="5" a="1"/>
  <c r="C499" i="5" s="1"/>
  <c r="C500" i="5" a="1"/>
  <c r="C500" i="5" s="1"/>
  <c r="C501" i="5" a="1"/>
  <c r="C501" i="5" s="1"/>
  <c r="C502" i="5" a="1"/>
  <c r="C502" i="5" s="1"/>
  <c r="C503" i="5" a="1"/>
  <c r="C503" i="5" s="1"/>
  <c r="C504" i="5" a="1"/>
  <c r="C504" i="5" s="1"/>
  <c r="C505" i="5" a="1"/>
  <c r="C505" i="5" s="1"/>
  <c r="C506" i="5" a="1"/>
  <c r="C506" i="5" s="1"/>
  <c r="C507" i="5" a="1"/>
  <c r="C507" i="5" s="1"/>
  <c r="C508" i="5" a="1"/>
  <c r="C508" i="5" s="1"/>
  <c r="C509" i="5" a="1"/>
  <c r="C509" i="5" s="1"/>
  <c r="C510" i="5" a="1"/>
  <c r="C510" i="5" s="1"/>
  <c r="C511" i="5" a="1"/>
  <c r="C511" i="5" s="1"/>
  <c r="C512" i="5" a="1"/>
  <c r="C512" i="5" s="1"/>
  <c r="C513" i="5" a="1"/>
  <c r="C513" i="5" s="1"/>
  <c r="C514" i="5" a="1"/>
  <c r="C514" i="5" s="1"/>
  <c r="C515" i="5" a="1"/>
  <c r="C515" i="5" s="1"/>
  <c r="C516" i="5" a="1"/>
  <c r="C516" i="5" s="1"/>
  <c r="C517" i="5" a="1"/>
  <c r="C517" i="5" s="1"/>
  <c r="C518" i="5" a="1"/>
  <c r="C518" i="5" s="1"/>
  <c r="C519" i="5" a="1"/>
  <c r="C519" i="5" s="1"/>
  <c r="C520" i="5" a="1"/>
  <c r="C520" i="5" s="1"/>
  <c r="C521" i="5" a="1"/>
  <c r="C521" i="5" s="1"/>
  <c r="C522" i="5" a="1"/>
  <c r="C522" i="5" s="1"/>
  <c r="C523" i="5" a="1"/>
  <c r="C523" i="5" s="1"/>
  <c r="C524" i="5" a="1"/>
  <c r="C524" i="5" s="1"/>
  <c r="C525" i="5" a="1"/>
  <c r="C525" i="5" s="1"/>
  <c r="C526" i="5" a="1"/>
  <c r="C526" i="5" s="1"/>
  <c r="C527" i="5" a="1"/>
  <c r="C527" i="5" s="1"/>
  <c r="C528" i="5" a="1"/>
  <c r="C528" i="5" s="1"/>
  <c r="C529" i="5" a="1"/>
  <c r="C529" i="5" s="1"/>
  <c r="C530" i="5" a="1"/>
  <c r="C530" i="5" s="1"/>
  <c r="C531" i="5" a="1"/>
  <c r="C531" i="5" s="1"/>
  <c r="C532" i="5" a="1"/>
  <c r="C532" i="5" s="1"/>
  <c r="C533" i="5" a="1"/>
  <c r="C533" i="5" s="1"/>
  <c r="C534" i="5" a="1"/>
  <c r="C534" i="5" s="1"/>
  <c r="C535" i="5" a="1"/>
  <c r="C535" i="5" s="1"/>
  <c r="C536" i="5" a="1"/>
  <c r="C536" i="5" s="1"/>
  <c r="C537" i="5" a="1"/>
  <c r="C537" i="5" s="1"/>
  <c r="C538" i="5" a="1"/>
  <c r="C538" i="5" s="1"/>
  <c r="C539" i="5" a="1"/>
  <c r="C539" i="5" s="1"/>
  <c r="C540" i="5" a="1"/>
  <c r="C540" i="5" s="1"/>
  <c r="C541" i="5" a="1"/>
  <c r="C541" i="5" s="1"/>
  <c r="C542" i="5" a="1"/>
  <c r="C542" i="5" s="1"/>
  <c r="C543" i="5" a="1"/>
  <c r="C543" i="5" s="1"/>
  <c r="C544" i="5" a="1"/>
  <c r="C544" i="5" s="1"/>
  <c r="C545" i="5" a="1"/>
  <c r="C545" i="5" s="1"/>
  <c r="C546" i="5" a="1"/>
  <c r="C546" i="5" s="1"/>
  <c r="C547" i="5" a="1"/>
  <c r="C547" i="5" s="1"/>
  <c r="C548" i="5" a="1"/>
  <c r="C548" i="5" s="1"/>
  <c r="C549" i="5" a="1"/>
  <c r="C549" i="5" s="1"/>
  <c r="C550" i="5" a="1"/>
  <c r="C550" i="5" s="1"/>
  <c r="C551" i="5" a="1"/>
  <c r="C551" i="5" s="1"/>
  <c r="C552" i="5" a="1"/>
  <c r="C552" i="5" s="1"/>
  <c r="C553" i="5" a="1"/>
  <c r="C553" i="5" s="1"/>
  <c r="C554" i="5" a="1"/>
  <c r="C554" i="5" s="1"/>
  <c r="C555" i="5" a="1"/>
  <c r="C555" i="5" s="1"/>
  <c r="C556" i="5" a="1"/>
  <c r="C556" i="5" s="1"/>
  <c r="C557" i="5" a="1"/>
  <c r="C557" i="5" s="1"/>
  <c r="C558" i="5" a="1"/>
  <c r="C558" i="5" s="1"/>
  <c r="C559" i="5" a="1"/>
  <c r="C559" i="5" s="1"/>
  <c r="C560" i="5" a="1"/>
  <c r="C560" i="5" s="1"/>
  <c r="C561" i="5" a="1"/>
  <c r="C561" i="5" s="1"/>
  <c r="C562" i="5" a="1"/>
  <c r="C562" i="5" s="1"/>
  <c r="C563" i="5" a="1"/>
  <c r="C563" i="5" s="1"/>
  <c r="C564" i="5" a="1"/>
  <c r="C564" i="5" s="1"/>
  <c r="C565" i="5" a="1"/>
  <c r="C565" i="5" s="1"/>
  <c r="C566" i="5" a="1"/>
  <c r="C566" i="5" s="1"/>
  <c r="C567" i="5" a="1"/>
  <c r="C567" i="5" s="1"/>
  <c r="C568" i="5" a="1"/>
  <c r="C568" i="5" s="1"/>
  <c r="C569" i="5" a="1"/>
  <c r="C569" i="5" s="1"/>
  <c r="C570" i="5" a="1"/>
  <c r="C570" i="5" s="1"/>
  <c r="C571" i="5" a="1"/>
  <c r="C571" i="5" s="1"/>
  <c r="C572" i="5" a="1"/>
  <c r="C572" i="5" s="1"/>
  <c r="C573" i="5" a="1"/>
  <c r="C573" i="5" s="1"/>
  <c r="C574" i="5" a="1"/>
  <c r="C574" i="5" s="1"/>
  <c r="C575" i="5" a="1"/>
  <c r="C575" i="5" s="1"/>
  <c r="C576" i="5" a="1"/>
  <c r="C576" i="5" s="1"/>
  <c r="C577" i="5" a="1"/>
  <c r="C577" i="5" s="1"/>
  <c r="C578" i="5" a="1"/>
  <c r="C578" i="5" s="1"/>
  <c r="C579" i="5" a="1"/>
  <c r="C579" i="5" s="1"/>
  <c r="C580" i="5" a="1"/>
  <c r="C580" i="5" s="1"/>
  <c r="C581" i="5" a="1"/>
  <c r="C581" i="5" s="1"/>
  <c r="C582" i="5" a="1"/>
  <c r="C582" i="5" s="1"/>
  <c r="C583" i="5" a="1"/>
  <c r="C583" i="5" s="1"/>
  <c r="C584" i="5" a="1"/>
  <c r="C584" i="5" s="1"/>
  <c r="C585" i="5" a="1"/>
  <c r="C585" i="5" s="1"/>
  <c r="C586" i="5" a="1"/>
  <c r="C586" i="5" s="1"/>
  <c r="C587" i="5" a="1"/>
  <c r="C587" i="5" s="1"/>
  <c r="C588" i="5" a="1"/>
  <c r="C588" i="5" s="1"/>
  <c r="C589" i="5" a="1"/>
  <c r="C589" i="5" s="1"/>
  <c r="C590" i="5" a="1"/>
  <c r="C590" i="5" s="1"/>
  <c r="C591" i="5" a="1"/>
  <c r="C591" i="5" s="1"/>
  <c r="C592" i="5" a="1"/>
  <c r="C592" i="5" s="1"/>
  <c r="C593" i="5" a="1"/>
  <c r="C593" i="5" s="1"/>
  <c r="C594" i="5" a="1"/>
  <c r="C594" i="5" s="1"/>
  <c r="C595" i="5" a="1"/>
  <c r="C595" i="5" s="1"/>
  <c r="C596" i="5" a="1"/>
  <c r="C596" i="5" s="1"/>
  <c r="C597" i="5" a="1"/>
  <c r="C597" i="5" s="1"/>
  <c r="C598" i="5" a="1"/>
  <c r="C598" i="5" s="1"/>
  <c r="C599" i="5" a="1"/>
  <c r="C599" i="5" s="1"/>
  <c r="C600" i="5" a="1"/>
  <c r="C600" i="5" s="1"/>
  <c r="C601" i="5" a="1"/>
  <c r="C601" i="5" s="1"/>
  <c r="C602" i="5" a="1"/>
  <c r="C602" i="5" s="1"/>
  <c r="C603" i="5" a="1"/>
  <c r="C603" i="5" s="1"/>
  <c r="C604" i="5" a="1"/>
  <c r="C604" i="5" s="1"/>
  <c r="C605" i="5" a="1"/>
  <c r="C605" i="5" s="1"/>
  <c r="C606" i="5" a="1"/>
  <c r="C606" i="5" s="1"/>
  <c r="C607" i="5" a="1"/>
  <c r="C607" i="5" s="1"/>
  <c r="C608" i="5" a="1"/>
  <c r="C608" i="5" s="1"/>
  <c r="C609" i="5" a="1"/>
  <c r="C609" i="5" s="1"/>
  <c r="C610" i="5" a="1"/>
  <c r="C610" i="5" s="1"/>
  <c r="C611" i="5" a="1"/>
  <c r="C611" i="5" s="1"/>
  <c r="C612" i="5" a="1"/>
  <c r="C612" i="5" s="1"/>
  <c r="C613" i="5" a="1"/>
  <c r="C613" i="5" s="1"/>
  <c r="C614" i="5" a="1"/>
  <c r="C614" i="5" s="1"/>
  <c r="C615" i="5" a="1"/>
  <c r="C615" i="5" s="1"/>
  <c r="C616" i="5" a="1"/>
  <c r="C616" i="5" s="1"/>
  <c r="C617" i="5" a="1"/>
  <c r="C617" i="5" s="1"/>
  <c r="C618" i="5" a="1"/>
  <c r="C618" i="5" s="1"/>
  <c r="C619" i="5" a="1"/>
  <c r="C619" i="5" s="1"/>
  <c r="C620" i="5" a="1"/>
  <c r="C620" i="5" s="1"/>
  <c r="C621" i="5" a="1"/>
  <c r="C621" i="5" s="1"/>
  <c r="C622" i="5" a="1"/>
  <c r="C622" i="5" s="1"/>
  <c r="C623" i="5" a="1"/>
  <c r="C623" i="5" s="1"/>
  <c r="C624" i="5" a="1"/>
  <c r="C624" i="5" s="1"/>
  <c r="C625" i="5" a="1"/>
  <c r="C625" i="5" s="1"/>
  <c r="C626" i="5" a="1"/>
  <c r="C626" i="5" s="1"/>
  <c r="C627" i="5" a="1"/>
  <c r="C627" i="5" s="1"/>
  <c r="C628" i="5" a="1"/>
  <c r="C628" i="5" s="1"/>
  <c r="C629" i="5" a="1"/>
  <c r="C629" i="5" s="1"/>
  <c r="C630" i="5" a="1"/>
  <c r="C630" i="5" s="1"/>
  <c r="C631" i="5" a="1"/>
  <c r="C631" i="5" s="1"/>
  <c r="C632" i="5" a="1"/>
  <c r="C632" i="5" s="1"/>
  <c r="C633" i="5" a="1"/>
  <c r="C633" i="5" s="1"/>
  <c r="C634" i="5" a="1"/>
  <c r="C634" i="5" s="1"/>
  <c r="C635" i="5" a="1"/>
  <c r="C635" i="5" s="1"/>
  <c r="C636" i="5" a="1"/>
  <c r="C636" i="5" s="1"/>
  <c r="C637" i="5" a="1"/>
  <c r="C637" i="5" s="1"/>
  <c r="C638" i="5" a="1"/>
  <c r="C638" i="5" s="1"/>
  <c r="C639" i="5" a="1"/>
  <c r="C639" i="5" s="1"/>
  <c r="C640" i="5" a="1"/>
  <c r="C640" i="5" s="1"/>
  <c r="C641" i="5" a="1"/>
  <c r="C641" i="5" s="1"/>
  <c r="C642" i="5" a="1"/>
  <c r="C642" i="5" s="1"/>
  <c r="C643" i="5" a="1"/>
  <c r="C643" i="5" s="1"/>
  <c r="C644" i="5" a="1"/>
  <c r="C644" i="5" s="1"/>
  <c r="C645" i="5" a="1"/>
  <c r="C645" i="5" s="1"/>
  <c r="C646" i="5" a="1"/>
  <c r="C646" i="5" s="1"/>
  <c r="C647" i="5" a="1"/>
  <c r="C647" i="5" s="1"/>
  <c r="C648" i="5" a="1"/>
  <c r="C648" i="5" s="1"/>
  <c r="C649" i="5" a="1"/>
  <c r="C649" i="5" s="1"/>
  <c r="C650" i="5" a="1"/>
  <c r="C650" i="5" s="1"/>
  <c r="C651" i="5" a="1"/>
  <c r="C651" i="5" s="1"/>
  <c r="C652" i="5" a="1"/>
  <c r="C652" i="5" s="1"/>
  <c r="C653" i="5" a="1"/>
  <c r="C653" i="5" s="1"/>
  <c r="C654" i="5" a="1"/>
  <c r="C654" i="5" s="1"/>
  <c r="C655" i="5" a="1"/>
  <c r="C655" i="5" s="1"/>
  <c r="C656" i="5" a="1"/>
  <c r="C656" i="5" s="1"/>
  <c r="C657" i="5" a="1"/>
  <c r="C657" i="5" s="1"/>
  <c r="C658" i="5" a="1"/>
  <c r="C658" i="5" s="1"/>
  <c r="C659" i="5" a="1"/>
  <c r="C659" i="5" s="1"/>
  <c r="C660" i="5" a="1"/>
  <c r="C660" i="5" s="1"/>
  <c r="C661" i="5" a="1"/>
  <c r="C661" i="5" s="1"/>
  <c r="C662" i="5" a="1"/>
  <c r="C662" i="5" s="1"/>
  <c r="C663" i="5" a="1"/>
  <c r="C663" i="5" s="1"/>
  <c r="C664" i="5" a="1"/>
  <c r="C664" i="5" s="1"/>
  <c r="C665" i="5" a="1"/>
  <c r="C665" i="5" s="1"/>
  <c r="C666" i="5" a="1"/>
  <c r="C666" i="5" s="1"/>
  <c r="C667" i="5" a="1"/>
  <c r="C667" i="5" s="1"/>
  <c r="C668" i="5" a="1"/>
  <c r="C668" i="5" s="1"/>
  <c r="C669" i="5" a="1"/>
  <c r="C669" i="5" s="1"/>
  <c r="C670" i="5" a="1"/>
  <c r="C670" i="5" s="1"/>
  <c r="C671" i="5" a="1"/>
  <c r="C671" i="5" s="1"/>
  <c r="C672" i="5" a="1"/>
  <c r="C672" i="5" s="1"/>
  <c r="C673" i="5" a="1"/>
  <c r="C673" i="5" s="1"/>
  <c r="C674" i="5" a="1"/>
  <c r="C674" i="5" s="1"/>
  <c r="C675" i="5" a="1"/>
  <c r="C675" i="5" s="1"/>
  <c r="C676" i="5" a="1"/>
  <c r="C676" i="5" s="1"/>
  <c r="C677" i="5" a="1"/>
  <c r="C677" i="5" s="1"/>
  <c r="C678" i="5" a="1"/>
  <c r="C678" i="5" s="1"/>
  <c r="C679" i="5" a="1"/>
  <c r="C679" i="5" s="1"/>
  <c r="C680" i="5" a="1"/>
  <c r="C680" i="5" s="1"/>
  <c r="C681" i="5" a="1"/>
  <c r="C681" i="5" s="1"/>
  <c r="C682" i="5" a="1"/>
  <c r="C682" i="5" s="1"/>
  <c r="C683" i="5" a="1"/>
  <c r="C683" i="5" s="1"/>
  <c r="C684" i="5" a="1"/>
  <c r="C684" i="5" s="1"/>
  <c r="C685" i="5" a="1"/>
  <c r="C685" i="5" s="1"/>
  <c r="C686" i="5" a="1"/>
  <c r="C686" i="5" s="1"/>
  <c r="C687" i="5" a="1"/>
  <c r="C687" i="5" s="1"/>
  <c r="C688" i="5" a="1"/>
  <c r="C688" i="5" s="1"/>
  <c r="C689" i="5" a="1"/>
  <c r="C689" i="5" s="1"/>
  <c r="C690" i="5" a="1"/>
  <c r="C690" i="5" s="1"/>
  <c r="C691" i="5" a="1"/>
  <c r="C691" i="5" s="1"/>
  <c r="C692" i="5" a="1"/>
  <c r="C692" i="5" s="1"/>
  <c r="C693" i="5" a="1"/>
  <c r="C693" i="5" s="1"/>
  <c r="C694" i="5" a="1"/>
  <c r="C694" i="5" s="1"/>
  <c r="C695" i="5" a="1"/>
  <c r="C695" i="5" s="1"/>
  <c r="C696" i="5" a="1"/>
  <c r="C696" i="5" s="1"/>
  <c r="C697" i="5" a="1"/>
  <c r="C697" i="5" s="1"/>
  <c r="C698" i="5" a="1"/>
  <c r="C698" i="5" s="1"/>
  <c r="C699" i="5" a="1"/>
  <c r="C699" i="5" s="1"/>
  <c r="C700" i="5" a="1"/>
  <c r="C700" i="5" s="1"/>
  <c r="C701" i="5" a="1"/>
  <c r="C701" i="5" s="1"/>
  <c r="C702" i="5" a="1"/>
  <c r="C702" i="5" s="1"/>
  <c r="C703" i="5" a="1"/>
  <c r="C703" i="5" s="1"/>
  <c r="C704" i="5" a="1"/>
  <c r="C704" i="5" s="1"/>
  <c r="C705" i="5" a="1"/>
  <c r="C705" i="5" s="1"/>
  <c r="C706" i="5" a="1"/>
  <c r="C706" i="5" s="1"/>
  <c r="C707" i="5" a="1"/>
  <c r="C707" i="5" s="1"/>
  <c r="C708" i="5" a="1"/>
  <c r="C708" i="5" s="1"/>
  <c r="C709" i="5" a="1"/>
  <c r="C709" i="5" s="1"/>
  <c r="C710" i="5" a="1"/>
  <c r="C710" i="5" s="1"/>
  <c r="C711" i="5" a="1"/>
  <c r="C711" i="5" s="1"/>
  <c r="C712" i="5" a="1"/>
  <c r="C712" i="5" s="1"/>
  <c r="C713" i="5" a="1"/>
  <c r="C713" i="5" s="1"/>
  <c r="C714" i="5" a="1"/>
  <c r="C714" i="5" s="1"/>
  <c r="C715" i="5" a="1"/>
  <c r="C715" i="5" s="1"/>
  <c r="C716" i="5" a="1"/>
  <c r="C716" i="5" s="1"/>
  <c r="C717" i="5" a="1"/>
  <c r="C717" i="5" s="1"/>
  <c r="C718" i="5" a="1"/>
  <c r="C718" i="5" s="1"/>
  <c r="C719" i="5" a="1"/>
  <c r="C719" i="5" s="1"/>
  <c r="C720" i="5" a="1"/>
  <c r="C720" i="5" s="1"/>
  <c r="C721" i="5" a="1"/>
  <c r="C721" i="5" s="1"/>
  <c r="C722" i="5" a="1"/>
  <c r="C722" i="5" s="1"/>
  <c r="C723" i="5" a="1"/>
  <c r="C723" i="5" s="1"/>
  <c r="C724" i="5" a="1"/>
  <c r="C724" i="5" s="1"/>
  <c r="C725" i="5" a="1"/>
  <c r="C725" i="5" s="1"/>
  <c r="C726" i="5" a="1"/>
  <c r="C726" i="5" s="1"/>
  <c r="C727" i="5" a="1"/>
  <c r="C727" i="5" s="1"/>
  <c r="C728" i="5" a="1"/>
  <c r="C728" i="5" s="1"/>
  <c r="C729" i="5" a="1"/>
  <c r="C729" i="5" s="1"/>
  <c r="C730" i="5" a="1"/>
  <c r="C730" i="5" s="1"/>
  <c r="C731" i="5" a="1"/>
  <c r="C731" i="5" s="1"/>
  <c r="C732" i="5" a="1"/>
  <c r="C732" i="5" s="1"/>
  <c r="C733" i="5" a="1"/>
  <c r="C733" i="5" s="1"/>
  <c r="C734" i="5" a="1"/>
  <c r="C734" i="5" s="1"/>
  <c r="C735" i="5" a="1"/>
  <c r="C735" i="5" s="1"/>
  <c r="C736" i="5" a="1"/>
  <c r="C736" i="5" s="1"/>
  <c r="C737" i="5" a="1"/>
  <c r="C737" i="5" s="1"/>
  <c r="C738" i="5" a="1"/>
  <c r="C738" i="5" s="1"/>
  <c r="C739" i="5" a="1"/>
  <c r="C739" i="5" s="1"/>
  <c r="C740" i="5" a="1"/>
  <c r="C740" i="5" s="1"/>
  <c r="C741" i="5" a="1"/>
  <c r="C741" i="5" s="1"/>
  <c r="C742" i="5" a="1"/>
  <c r="C742" i="5" s="1"/>
  <c r="C743" i="5" a="1"/>
  <c r="C743" i="5" s="1"/>
  <c r="C744" i="5" a="1"/>
  <c r="C744" i="5" s="1"/>
  <c r="C745" i="5" a="1"/>
  <c r="C745" i="5" s="1"/>
  <c r="C746" i="5" a="1"/>
  <c r="C746" i="5" s="1"/>
  <c r="C747" i="5" a="1"/>
  <c r="C747" i="5" s="1"/>
  <c r="C748" i="5" a="1"/>
  <c r="C748" i="5" s="1"/>
  <c r="C749" i="5" a="1"/>
  <c r="C749" i="5" s="1"/>
  <c r="C750" i="5" a="1"/>
  <c r="C750" i="5" s="1"/>
  <c r="C751" i="5" a="1"/>
  <c r="C751" i="5" s="1"/>
  <c r="C752" i="5" a="1"/>
  <c r="C752" i="5" s="1"/>
  <c r="C753" i="5" a="1"/>
  <c r="C753" i="5" s="1"/>
  <c r="C754" i="5" a="1"/>
  <c r="C754" i="5" s="1"/>
  <c r="C755" i="5" a="1"/>
  <c r="C755" i="5" s="1"/>
  <c r="C756" i="5" a="1"/>
  <c r="C756" i="5" s="1"/>
  <c r="C757" i="5" a="1"/>
  <c r="C757" i="5" s="1"/>
  <c r="C758" i="5" a="1"/>
  <c r="C758" i="5" s="1"/>
  <c r="C759" i="5" a="1"/>
  <c r="C759" i="5" s="1"/>
  <c r="C760" i="5" a="1"/>
  <c r="C760" i="5" s="1"/>
  <c r="C761" i="5" a="1"/>
  <c r="C761" i="5" s="1"/>
  <c r="C762" i="5" a="1"/>
  <c r="C762" i="5" s="1"/>
  <c r="C763" i="5" a="1"/>
  <c r="C763" i="5" s="1"/>
  <c r="C764" i="5" a="1"/>
  <c r="C764" i="5" s="1"/>
  <c r="C765" i="5" a="1"/>
  <c r="C765" i="5" s="1"/>
  <c r="C766" i="5" a="1"/>
  <c r="C766" i="5" s="1"/>
  <c r="C767" i="5" a="1"/>
  <c r="C767" i="5" s="1"/>
  <c r="C768" i="5" a="1"/>
  <c r="C768" i="5" s="1"/>
  <c r="C769" i="5" a="1"/>
  <c r="C769" i="5" s="1"/>
  <c r="C770" i="5" a="1"/>
  <c r="C770" i="5" s="1"/>
  <c r="C771" i="5" a="1"/>
  <c r="C771" i="5" s="1"/>
  <c r="C772" i="5" a="1"/>
  <c r="C772" i="5" s="1"/>
  <c r="C773" i="5" a="1"/>
  <c r="C773" i="5" s="1"/>
  <c r="C774" i="5" a="1"/>
  <c r="C774" i="5" s="1"/>
  <c r="C775" i="5" a="1"/>
  <c r="C775" i="5" s="1"/>
  <c r="C776" i="5" a="1"/>
  <c r="C776" i="5" s="1"/>
  <c r="C777" i="5" a="1"/>
  <c r="C777" i="5" s="1"/>
  <c r="C778" i="5" a="1"/>
  <c r="C778" i="5" s="1"/>
  <c r="C779" i="5" a="1"/>
  <c r="C779" i="5" s="1"/>
  <c r="C780" i="5" a="1"/>
  <c r="C780" i="5" s="1"/>
  <c r="C781" i="5" a="1"/>
  <c r="C781" i="5" s="1"/>
  <c r="C782" i="5" a="1"/>
  <c r="C782" i="5" s="1"/>
  <c r="C783" i="5" a="1"/>
  <c r="C783" i="5" s="1"/>
  <c r="C784" i="5" a="1"/>
  <c r="C784" i="5" s="1"/>
  <c r="C785" i="5" a="1"/>
  <c r="C785" i="5" s="1"/>
  <c r="C786" i="5" a="1"/>
  <c r="C786" i="5" s="1"/>
  <c r="C787" i="5" a="1"/>
  <c r="C787" i="5" s="1"/>
  <c r="C788" i="5" a="1"/>
  <c r="C788" i="5" s="1"/>
  <c r="C789" i="5" a="1"/>
  <c r="C789" i="5" s="1"/>
  <c r="C790" i="5" a="1"/>
  <c r="C790" i="5" s="1"/>
  <c r="C791" i="5" a="1"/>
  <c r="C791" i="5" s="1"/>
  <c r="C792" i="5" a="1"/>
  <c r="C792" i="5" s="1"/>
  <c r="C793" i="5" a="1"/>
  <c r="C793" i="5" s="1"/>
  <c r="C794" i="5" a="1"/>
  <c r="C794" i="5" s="1"/>
  <c r="C795" i="5" a="1"/>
  <c r="C795" i="5" s="1"/>
  <c r="C796" i="5" a="1"/>
  <c r="C796" i="5" s="1"/>
  <c r="C797" i="5" a="1"/>
  <c r="C797" i="5" s="1"/>
  <c r="C798" i="5" a="1"/>
  <c r="C798" i="5" s="1"/>
  <c r="C799" i="5" a="1"/>
  <c r="C799" i="5" s="1"/>
  <c r="C800" i="5" a="1"/>
  <c r="C800" i="5" s="1"/>
  <c r="C801" i="5" a="1"/>
  <c r="C801" i="5" s="1"/>
  <c r="C802" i="5" a="1"/>
  <c r="C802" i="5" s="1"/>
  <c r="C803" i="5" a="1"/>
  <c r="C803" i="5" s="1"/>
  <c r="C804" i="5" a="1"/>
  <c r="C804" i="5" s="1"/>
  <c r="C805" i="5" a="1"/>
  <c r="C805" i="5" s="1"/>
  <c r="C806" i="5" a="1"/>
  <c r="C806" i="5" s="1"/>
  <c r="C807" i="5" a="1"/>
  <c r="C807" i="5" s="1"/>
  <c r="C808" i="5" a="1"/>
  <c r="C808" i="5" s="1"/>
  <c r="C809" i="5" a="1"/>
  <c r="C809" i="5" s="1"/>
  <c r="C810" i="5" a="1"/>
  <c r="C810" i="5" s="1"/>
  <c r="C811" i="5" a="1"/>
  <c r="C811" i="5" s="1"/>
  <c r="C812" i="5" a="1"/>
  <c r="C812" i="5" s="1"/>
  <c r="C813" i="5" a="1"/>
  <c r="C813" i="5" s="1"/>
  <c r="C814" i="5" a="1"/>
  <c r="C814" i="5" s="1"/>
  <c r="C815" i="5" a="1"/>
  <c r="C815" i="5" s="1"/>
  <c r="C816" i="5" a="1"/>
  <c r="C816" i="5" s="1"/>
  <c r="C817" i="5" a="1"/>
  <c r="C817" i="5" s="1"/>
  <c r="C818" i="5" a="1"/>
  <c r="C818" i="5" s="1"/>
  <c r="C819" i="5" a="1"/>
  <c r="C819" i="5" s="1"/>
  <c r="C820" i="5" a="1"/>
  <c r="C820" i="5" s="1"/>
  <c r="C821" i="5" a="1"/>
  <c r="C821" i="5" s="1"/>
  <c r="C822" i="5" a="1"/>
  <c r="C822" i="5" s="1"/>
  <c r="C823" i="5" a="1"/>
  <c r="C823" i="5" s="1"/>
  <c r="C824" i="5" a="1"/>
  <c r="C824" i="5" s="1"/>
  <c r="C825" i="5" a="1"/>
  <c r="C825" i="5" s="1"/>
  <c r="C826" i="5" a="1"/>
  <c r="C826" i="5" s="1"/>
  <c r="C827" i="5" a="1"/>
  <c r="C827" i="5" s="1"/>
  <c r="C828" i="5" a="1"/>
  <c r="C828" i="5" s="1"/>
  <c r="C829" i="5" a="1"/>
  <c r="C829" i="5" s="1"/>
  <c r="C830" i="5" a="1"/>
  <c r="C830" i="5" s="1"/>
  <c r="C831" i="5" a="1"/>
  <c r="C831" i="5" s="1"/>
  <c r="C832" i="5" a="1"/>
  <c r="C832" i="5" s="1"/>
  <c r="C833" i="5" a="1"/>
  <c r="C833" i="5" s="1"/>
  <c r="C834" i="5" a="1"/>
  <c r="C834" i="5" s="1"/>
  <c r="C835" i="5" a="1"/>
  <c r="C835" i="5" s="1"/>
  <c r="C836" i="5" a="1"/>
  <c r="C836" i="5" s="1"/>
  <c r="C837" i="5" a="1"/>
  <c r="C837" i="5" s="1"/>
  <c r="C838" i="5" a="1"/>
  <c r="C838" i="5" s="1"/>
  <c r="C839" i="5" a="1"/>
  <c r="C839" i="5" s="1"/>
  <c r="C840" i="5" a="1"/>
  <c r="C840" i="5" s="1"/>
  <c r="C841" i="5" a="1"/>
  <c r="C841" i="5" s="1"/>
  <c r="C842" i="5" a="1"/>
  <c r="C842" i="5" s="1"/>
  <c r="C843" i="5" a="1"/>
  <c r="C843" i="5" s="1"/>
  <c r="C844" i="5" a="1"/>
  <c r="C844" i="5" s="1"/>
  <c r="C845" i="5" a="1"/>
  <c r="C845" i="5" s="1"/>
  <c r="C846" i="5" a="1"/>
  <c r="C846" i="5" s="1"/>
  <c r="C847" i="5" a="1"/>
  <c r="C847" i="5" s="1"/>
  <c r="C848" i="5" a="1"/>
  <c r="C848" i="5" s="1"/>
  <c r="C849" i="5" a="1"/>
  <c r="C849" i="5" s="1"/>
  <c r="C850" i="5" a="1"/>
  <c r="C850" i="5" s="1"/>
  <c r="C851" i="5" a="1"/>
  <c r="C851" i="5" s="1"/>
  <c r="C852" i="5" a="1"/>
  <c r="C852" i="5" s="1"/>
  <c r="C853" i="5" a="1"/>
  <c r="C853" i="5" s="1"/>
  <c r="C854" i="5" a="1"/>
  <c r="C854" i="5" s="1"/>
  <c r="C855" i="5" a="1"/>
  <c r="C855" i="5" s="1"/>
  <c r="C856" i="5" a="1"/>
  <c r="C856" i="5" s="1"/>
  <c r="C857" i="5" a="1"/>
  <c r="C857" i="5" s="1"/>
  <c r="C858" i="5" a="1"/>
  <c r="C858" i="5" s="1"/>
  <c r="C859" i="5" a="1"/>
  <c r="C859" i="5" s="1"/>
  <c r="C860" i="5" a="1"/>
  <c r="C860" i="5" s="1"/>
  <c r="C861" i="5" a="1"/>
  <c r="C861" i="5" s="1"/>
  <c r="C862" i="5" a="1"/>
  <c r="C862" i="5" s="1"/>
  <c r="C863" i="5" a="1"/>
  <c r="C863" i="5" s="1"/>
  <c r="C864" i="5" a="1"/>
  <c r="C864" i="5" s="1"/>
  <c r="C865" i="5" a="1"/>
  <c r="C865" i="5" s="1"/>
  <c r="C866" i="5" a="1"/>
  <c r="C866" i="5" s="1"/>
  <c r="C867" i="5" a="1"/>
  <c r="C867" i="5" s="1"/>
  <c r="C868" i="5" a="1"/>
  <c r="C868" i="5" s="1"/>
  <c r="C869" i="5" a="1"/>
  <c r="C869" i="5" s="1"/>
  <c r="C870" i="5" a="1"/>
  <c r="C870" i="5" s="1"/>
  <c r="C871" i="5" a="1"/>
  <c r="C871" i="5" s="1"/>
  <c r="C872" i="5" a="1"/>
  <c r="C872" i="5" s="1"/>
  <c r="C873" i="5" a="1"/>
  <c r="C873" i="5" s="1"/>
  <c r="C874" i="5" a="1"/>
  <c r="C874" i="5" s="1"/>
  <c r="C875" i="5" a="1"/>
  <c r="C875" i="5" s="1"/>
  <c r="C876" i="5" a="1"/>
  <c r="C876" i="5" s="1"/>
  <c r="C877" i="5" a="1"/>
  <c r="C877" i="5" s="1"/>
  <c r="C878" i="5" a="1"/>
  <c r="C878" i="5" s="1"/>
  <c r="C879" i="5" a="1"/>
  <c r="C879" i="5" s="1"/>
  <c r="C880" i="5" a="1"/>
  <c r="C880" i="5" s="1"/>
  <c r="C881" i="5" a="1"/>
  <c r="C881" i="5" s="1"/>
  <c r="C882" i="5" a="1"/>
  <c r="C882" i="5" s="1"/>
  <c r="C883" i="5" a="1"/>
  <c r="C883" i="5" s="1"/>
  <c r="C884" i="5" a="1"/>
  <c r="C884" i="5" s="1"/>
  <c r="C885" i="5" a="1"/>
  <c r="C885" i="5" s="1"/>
  <c r="C886" i="5" a="1"/>
  <c r="C886" i="5" s="1"/>
  <c r="C887" i="5" a="1"/>
  <c r="C887" i="5" s="1"/>
  <c r="C888" i="5" a="1"/>
  <c r="C888" i="5" s="1"/>
  <c r="C889" i="5" a="1"/>
  <c r="C889" i="5" s="1"/>
  <c r="C890" i="5" a="1"/>
  <c r="C890" i="5" s="1"/>
  <c r="C891" i="5" a="1"/>
  <c r="C891" i="5" s="1"/>
  <c r="C892" i="5" a="1"/>
  <c r="C892" i="5" s="1"/>
  <c r="C893" i="5" a="1"/>
  <c r="C893" i="5" s="1"/>
  <c r="C894" i="5" a="1"/>
  <c r="C894" i="5" s="1"/>
  <c r="C895" i="5" a="1"/>
  <c r="C895" i="5" s="1"/>
  <c r="C896" i="5" a="1"/>
  <c r="C896" i="5" s="1"/>
  <c r="C897" i="5" a="1"/>
  <c r="C897" i="5" s="1"/>
  <c r="C898" i="5" a="1"/>
  <c r="C898" i="5" s="1"/>
  <c r="C899" i="5" a="1"/>
  <c r="C899" i="5" s="1"/>
  <c r="C900" i="5" a="1"/>
  <c r="C900" i="5" s="1"/>
  <c r="C901" i="5" a="1"/>
  <c r="C901" i="5" s="1"/>
  <c r="C902" i="5" a="1"/>
  <c r="C902" i="5" s="1"/>
  <c r="C903" i="5" a="1"/>
  <c r="C903" i="5" s="1"/>
  <c r="C904" i="5" a="1"/>
  <c r="C904" i="5" s="1"/>
  <c r="C905" i="5" a="1"/>
  <c r="C905" i="5" s="1"/>
  <c r="C906" i="5" a="1"/>
  <c r="C906" i="5" s="1"/>
  <c r="C907" i="5" a="1"/>
  <c r="C907" i="5" s="1"/>
  <c r="C908" i="5" a="1"/>
  <c r="C908" i="5" s="1"/>
  <c r="C909" i="5" a="1"/>
  <c r="C909" i="5" s="1"/>
  <c r="C910" i="5" a="1"/>
  <c r="C910" i="5" s="1"/>
  <c r="C911" i="5" a="1"/>
  <c r="C911" i="5" s="1"/>
  <c r="C912" i="5" a="1"/>
  <c r="C912" i="5" s="1"/>
  <c r="C913" i="5" a="1"/>
  <c r="C913" i="5" s="1"/>
  <c r="C914" i="5" a="1"/>
  <c r="C914" i="5" s="1"/>
  <c r="C915" i="5" a="1"/>
  <c r="C915" i="5" s="1"/>
  <c r="C916" i="5" a="1"/>
  <c r="C916" i="5" s="1"/>
  <c r="C917" i="5" a="1"/>
  <c r="C917" i="5" s="1"/>
  <c r="C918" i="5" a="1"/>
  <c r="C918" i="5" s="1"/>
  <c r="C919" i="5" a="1"/>
  <c r="C919" i="5" s="1"/>
  <c r="C920" i="5" a="1"/>
  <c r="C920" i="5" s="1"/>
  <c r="C921" i="5" a="1"/>
  <c r="C921" i="5" s="1"/>
  <c r="C922" i="5" a="1"/>
  <c r="C922" i="5" s="1"/>
  <c r="C923" i="5" a="1"/>
  <c r="C923" i="5" s="1"/>
  <c r="C924" i="5" a="1"/>
  <c r="C924" i="5" s="1"/>
  <c r="C925" i="5" a="1"/>
  <c r="C925" i="5" s="1"/>
  <c r="C926" i="5" a="1"/>
  <c r="C926" i="5" s="1"/>
  <c r="C927" i="5" a="1"/>
  <c r="C927" i="5" s="1"/>
  <c r="C928" i="5" a="1"/>
  <c r="C928" i="5" s="1"/>
  <c r="C929" i="5" a="1"/>
  <c r="C929" i="5" s="1"/>
  <c r="C930" i="5" a="1"/>
  <c r="C930" i="5" s="1"/>
  <c r="C931" i="5" a="1"/>
  <c r="C931" i="5" s="1"/>
  <c r="C932" i="5" a="1"/>
  <c r="C932" i="5" s="1"/>
  <c r="C933" i="5" a="1"/>
  <c r="C933" i="5" s="1"/>
  <c r="C934" i="5" a="1"/>
  <c r="C934" i="5" s="1"/>
  <c r="C935" i="5" a="1"/>
  <c r="C935" i="5" s="1"/>
  <c r="C936" i="5" a="1"/>
  <c r="C936" i="5" s="1"/>
  <c r="C937" i="5" a="1"/>
  <c r="C937" i="5" s="1"/>
  <c r="C938" i="5" a="1"/>
  <c r="C938" i="5" s="1"/>
  <c r="C939" i="5" a="1"/>
  <c r="C939" i="5" s="1"/>
  <c r="C940" i="5" a="1"/>
  <c r="C940" i="5" s="1"/>
  <c r="C941" i="5" a="1"/>
  <c r="C941" i="5" s="1"/>
  <c r="C942" i="5" a="1"/>
  <c r="C942" i="5" s="1"/>
  <c r="C943" i="5" a="1"/>
  <c r="C943" i="5" s="1"/>
  <c r="C944" i="5" a="1"/>
  <c r="C944" i="5" s="1"/>
  <c r="C945" i="5" a="1"/>
  <c r="C945" i="5" s="1"/>
  <c r="C946" i="5" a="1"/>
  <c r="C946" i="5" s="1"/>
  <c r="C947" i="5" a="1"/>
  <c r="C947" i="5" s="1"/>
  <c r="C948" i="5" a="1"/>
  <c r="C948" i="5" s="1"/>
  <c r="C949" i="5" a="1"/>
  <c r="C949" i="5" s="1"/>
  <c r="C950" i="5" a="1"/>
  <c r="C950" i="5" s="1"/>
  <c r="C951" i="5" a="1"/>
  <c r="C951" i="5" s="1"/>
  <c r="C952" i="5" a="1"/>
  <c r="C952" i="5" s="1"/>
  <c r="C953" i="5" a="1"/>
  <c r="C953" i="5" s="1"/>
  <c r="C954" i="5" a="1"/>
  <c r="C954" i="5" s="1"/>
  <c r="C955" i="5" a="1"/>
  <c r="C955" i="5" s="1"/>
  <c r="C956" i="5" a="1"/>
  <c r="C956" i="5" s="1"/>
  <c r="C957" i="5" a="1"/>
  <c r="C957" i="5" s="1"/>
  <c r="C958" i="5" a="1"/>
  <c r="C958" i="5" s="1"/>
  <c r="C959" i="5" a="1"/>
  <c r="C959" i="5" s="1"/>
  <c r="C960" i="5" a="1"/>
  <c r="C960" i="5" s="1"/>
  <c r="C961" i="5" a="1"/>
  <c r="C961" i="5" s="1"/>
  <c r="C962" i="5" a="1"/>
  <c r="C962" i="5" s="1"/>
  <c r="C963" i="5" a="1"/>
  <c r="C963" i="5" s="1"/>
  <c r="C964" i="5" a="1"/>
  <c r="C964" i="5" s="1"/>
  <c r="C965" i="5" a="1"/>
  <c r="C965" i="5" s="1"/>
  <c r="C966" i="5" a="1"/>
  <c r="C966" i="5" s="1"/>
  <c r="C967" i="5" a="1"/>
  <c r="C967" i="5" s="1"/>
  <c r="C968" i="5" a="1"/>
  <c r="C968" i="5" s="1"/>
  <c r="C969" i="5" a="1"/>
  <c r="C969" i="5" s="1"/>
  <c r="C970" i="5" a="1"/>
  <c r="C970" i="5" s="1"/>
  <c r="C971" i="5" a="1"/>
  <c r="C971" i="5" s="1"/>
  <c r="C972" i="5" a="1"/>
  <c r="C972" i="5" s="1"/>
  <c r="C973" i="5" a="1"/>
  <c r="C973" i="5" s="1"/>
  <c r="C974" i="5" a="1"/>
  <c r="C974" i="5" s="1"/>
  <c r="C975" i="5" a="1"/>
  <c r="C975" i="5" s="1"/>
  <c r="C976" i="5" a="1"/>
  <c r="C976" i="5" s="1"/>
  <c r="C977" i="5" a="1"/>
  <c r="C977" i="5" s="1"/>
  <c r="C978" i="5" a="1"/>
  <c r="C978" i="5" s="1"/>
  <c r="C979" i="5" a="1"/>
  <c r="C979" i="5" s="1"/>
  <c r="C980" i="5" a="1"/>
  <c r="C980" i="5" s="1"/>
  <c r="C981" i="5" a="1"/>
  <c r="C981" i="5" s="1"/>
  <c r="C982" i="5" a="1"/>
  <c r="C982" i="5" s="1"/>
  <c r="C983" i="5" a="1"/>
  <c r="C983" i="5" s="1"/>
  <c r="C984" i="5" a="1"/>
  <c r="C984" i="5" s="1"/>
  <c r="C985" i="5" a="1"/>
  <c r="C985" i="5" s="1"/>
  <c r="C986" i="5" a="1"/>
  <c r="C986" i="5" s="1"/>
  <c r="C987" i="5" a="1"/>
  <c r="C987" i="5" s="1"/>
  <c r="C988" i="5" a="1"/>
  <c r="C988" i="5" s="1"/>
  <c r="C989" i="5" a="1"/>
  <c r="C989" i="5" s="1"/>
  <c r="C990" i="5" a="1"/>
  <c r="C990" i="5" s="1"/>
  <c r="C991" i="5" a="1"/>
  <c r="C991" i="5" s="1"/>
  <c r="C992" i="5" a="1"/>
  <c r="C992" i="5" s="1"/>
  <c r="C993" i="5" a="1"/>
  <c r="C993" i="5" s="1"/>
  <c r="C994" i="5" a="1"/>
  <c r="C994" i="5" s="1"/>
  <c r="C995" i="5" a="1"/>
  <c r="C995" i="5" s="1"/>
  <c r="C996" i="5" a="1"/>
  <c r="C996" i="5" s="1"/>
  <c r="C997" i="5" a="1"/>
  <c r="C997" i="5" s="1"/>
  <c r="C998" i="5" a="1"/>
  <c r="C998" i="5" s="1"/>
  <c r="C999" i="5" a="1"/>
  <c r="C999" i="5" s="1"/>
  <c r="C1000" i="5" a="1"/>
  <c r="C1000" i="5" s="1"/>
  <c r="C1001" i="5" a="1"/>
  <c r="C1001" i="5" s="1"/>
  <c r="A3" i="5"/>
  <c r="A4" i="5"/>
  <c r="A5" i="5"/>
  <c r="A6" i="5"/>
  <c r="A7" i="5"/>
  <c r="A8" i="5"/>
  <c r="A9" i="5"/>
  <c r="A10" i="5"/>
  <c r="A11" i="5"/>
  <c r="A12" i="5"/>
  <c r="A13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2" i="5"/>
  <c r="E2" i="4"/>
  <c r="E3" i="4"/>
  <c r="E4" i="4"/>
  <c r="E5" i="4"/>
  <c r="E6" i="4"/>
  <c r="E7" i="4"/>
  <c r="E8" i="4"/>
  <c r="E9" i="4"/>
  <c r="D2" i="4"/>
  <c r="D3" i="4"/>
  <c r="D4" i="4"/>
  <c r="D5" i="4"/>
  <c r="D6" i="4"/>
  <c r="D7" i="4"/>
  <c r="D8" i="4"/>
  <c r="D9" i="4"/>
  <c r="A3" i="4"/>
  <c r="A4" i="4"/>
  <c r="A5" i="4"/>
  <c r="A6" i="4"/>
  <c r="A7" i="4"/>
  <c r="A8" i="4"/>
  <c r="A9" i="4"/>
  <c r="A2" i="4"/>
  <c r="C2" i="3" a="1"/>
  <c r="C2" i="3" s="1"/>
  <c r="D2" i="3" s="1"/>
  <c r="C3" i="3" a="1"/>
  <c r="C3" i="3" s="1"/>
  <c r="D3" i="3" s="1"/>
  <c r="C4" i="3" a="1"/>
  <c r="C4" i="3" s="1"/>
  <c r="D4" i="3" s="1"/>
  <c r="C5" i="3" a="1"/>
  <c r="C5" i="3" s="1"/>
  <c r="D5" i="3" s="1"/>
  <c r="C6" i="3" a="1"/>
  <c r="C6" i="3" s="1"/>
  <c r="D6" i="3" s="1"/>
  <c r="C7" i="3" a="1"/>
  <c r="C7" i="3" s="1"/>
  <c r="D7" i="3" s="1"/>
  <c r="C8" i="3" a="1"/>
  <c r="C8" i="3" s="1"/>
  <c r="D8" i="3" s="1"/>
  <c r="C9" i="3" a="1"/>
  <c r="C9" i="3" s="1"/>
  <c r="D9" i="3" s="1"/>
  <c r="C10" i="3" a="1"/>
  <c r="C10" i="3" s="1"/>
  <c r="D10" i="3" s="1"/>
  <c r="C11" i="3" a="1"/>
  <c r="C11" i="3" s="1"/>
  <c r="D11" i="3" s="1"/>
  <c r="C12" i="3" a="1"/>
  <c r="C12" i="3" s="1"/>
  <c r="D12" i="3" s="1"/>
  <c r="C13" i="3" a="1"/>
  <c r="C13" i="3" s="1"/>
  <c r="D13" i="3" s="1"/>
  <c r="C14" i="3" a="1"/>
  <c r="C14" i="3" s="1"/>
  <c r="D14" i="3" s="1"/>
  <c r="C15" i="3" a="1"/>
  <c r="C15" i="3" s="1"/>
  <c r="D15" i="3" s="1"/>
  <c r="C16" i="3" a="1"/>
  <c r="C16" i="3" s="1"/>
  <c r="D16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2" i="3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2" i="2" a="1"/>
  <c r="G22" i="2" s="1"/>
  <c r="E31" i="2" a="1"/>
  <c r="E31" i="2" s="1"/>
  <c r="F31" i="2" s="1"/>
  <c r="E32" i="2" a="1"/>
  <c r="E32" i="2" s="1"/>
  <c r="F32" i="2" s="1"/>
  <c r="E33" i="2" a="1"/>
  <c r="E33" i="2" s="1"/>
  <c r="F33" i="2" s="1"/>
  <c r="E34" i="2" a="1"/>
  <c r="E34" i="2" s="1"/>
  <c r="F34" i="2" s="1"/>
  <c r="E35" i="2" a="1"/>
  <c r="E35" i="2" s="1"/>
  <c r="F35" i="2" s="1"/>
  <c r="E36" i="2" a="1"/>
  <c r="E36" i="2" s="1"/>
  <c r="F36" i="2" s="1"/>
  <c r="E37" i="2" a="1"/>
  <c r="E37" i="2" s="1"/>
  <c r="F37" i="2" s="1"/>
  <c r="E38" i="2" a="1"/>
  <c r="E38" i="2" s="1"/>
  <c r="F38" i="2" s="1"/>
  <c r="E39" i="2" a="1"/>
  <c r="E39" i="2" s="1"/>
  <c r="F39" i="2" s="1"/>
  <c r="E40" i="2" a="1"/>
  <c r="E40" i="2" s="1"/>
  <c r="F40" i="2" s="1"/>
  <c r="E41" i="2" a="1"/>
  <c r="E41" i="2" s="1"/>
  <c r="F41" i="2" s="1"/>
  <c r="E42" i="2" a="1"/>
  <c r="E42" i="2" s="1"/>
  <c r="F42" i="2" s="1"/>
  <c r="E43" i="2" a="1"/>
  <c r="E43" i="2" s="1"/>
  <c r="F43" i="2" s="1"/>
  <c r="E44" i="2" a="1"/>
  <c r="E44" i="2" s="1"/>
  <c r="F44" i="2" s="1"/>
  <c r="E45" i="2" a="1"/>
  <c r="E45" i="2" s="1"/>
  <c r="F45" i="2" s="1"/>
  <c r="E46" i="2" a="1"/>
  <c r="E46" i="2" s="1"/>
  <c r="F46" i="2" s="1"/>
  <c r="E47" i="2" a="1"/>
  <c r="E47" i="2" s="1"/>
  <c r="F47" i="2" s="1"/>
  <c r="E48" i="2" a="1"/>
  <c r="E48" i="2" s="1"/>
  <c r="F48" i="2" s="1"/>
  <c r="E49" i="2" a="1"/>
  <c r="E49" i="2" s="1"/>
  <c r="F49" i="2" s="1"/>
  <c r="E50" i="2" a="1"/>
  <c r="E50" i="2" s="1"/>
  <c r="F50" i="2" s="1"/>
  <c r="E51" i="2" a="1"/>
  <c r="E51" i="2" s="1"/>
  <c r="F51" i="2" s="1"/>
  <c r="E52" i="2" a="1"/>
  <c r="E52" i="2" s="1"/>
  <c r="F52" i="2" s="1"/>
  <c r="E53" i="2" a="1"/>
  <c r="E53" i="2" s="1"/>
  <c r="F53" i="2" s="1"/>
  <c r="E54" i="2" a="1"/>
  <c r="E54" i="2" s="1"/>
  <c r="F54" i="2" s="1"/>
  <c r="E55" i="2" a="1"/>
  <c r="E55" i="2" s="1"/>
  <c r="F55" i="2" s="1"/>
  <c r="E56" i="2" a="1"/>
  <c r="E56" i="2" s="1"/>
  <c r="F56" i="2" s="1"/>
  <c r="E57" i="2" a="1"/>
  <c r="E57" i="2" s="1"/>
  <c r="F57" i="2" s="1"/>
  <c r="E58" i="2" a="1"/>
  <c r="E58" i="2" s="1"/>
  <c r="F58" i="2" s="1"/>
  <c r="E59" i="2" a="1"/>
  <c r="E59" i="2" s="1"/>
  <c r="F59" i="2" s="1"/>
  <c r="E60" i="2" a="1"/>
  <c r="E60" i="2" s="1"/>
  <c r="F60" i="2" s="1"/>
  <c r="E61" i="2" a="1"/>
  <c r="E61" i="2" s="1"/>
  <c r="F61" i="2" s="1"/>
  <c r="E62" i="2" a="1"/>
  <c r="E62" i="2" s="1"/>
  <c r="F62" i="2" s="1"/>
  <c r="E63" i="2" a="1"/>
  <c r="E63" i="2" s="1"/>
  <c r="F63" i="2" s="1"/>
  <c r="E64" i="2" a="1"/>
  <c r="E64" i="2" s="1"/>
  <c r="F64" i="2" s="1"/>
  <c r="E65" i="2" a="1"/>
  <c r="E65" i="2" s="1"/>
  <c r="F65" i="2" s="1"/>
  <c r="E66" i="2" a="1"/>
  <c r="E66" i="2" s="1"/>
  <c r="F66" i="2" s="1"/>
  <c r="E67" i="2" a="1"/>
  <c r="E67" i="2" s="1"/>
  <c r="F67" i="2" s="1"/>
  <c r="E68" i="2" a="1"/>
  <c r="E68" i="2" s="1"/>
  <c r="F68" i="2" s="1"/>
  <c r="E69" i="2" a="1"/>
  <c r="E69" i="2" s="1"/>
  <c r="F69" i="2" s="1"/>
  <c r="E70" i="2" a="1"/>
  <c r="E70" i="2" s="1"/>
  <c r="F70" i="2" s="1"/>
  <c r="E71" i="2" a="1"/>
  <c r="E71" i="2" s="1"/>
  <c r="F71" i="2" s="1"/>
  <c r="E72" i="2" a="1"/>
  <c r="E72" i="2" s="1"/>
  <c r="F72" i="2" s="1"/>
  <c r="E73" i="2" a="1"/>
  <c r="E73" i="2" s="1"/>
  <c r="F73" i="2" s="1"/>
  <c r="E74" i="2" a="1"/>
  <c r="E74" i="2" s="1"/>
  <c r="F74" i="2" s="1"/>
  <c r="E75" i="2" a="1"/>
  <c r="E75" i="2" s="1"/>
  <c r="F75" i="2" s="1"/>
  <c r="E76" i="2" a="1"/>
  <c r="E76" i="2" s="1"/>
  <c r="F76" i="2" s="1"/>
  <c r="E77" i="2" a="1"/>
  <c r="E77" i="2" s="1"/>
  <c r="F77" i="2" s="1"/>
  <c r="E78" i="2" a="1"/>
  <c r="E78" i="2" s="1"/>
  <c r="F78" i="2" s="1"/>
  <c r="E79" i="2" a="1"/>
  <c r="E79" i="2" s="1"/>
  <c r="F79" i="2" s="1"/>
  <c r="E80" i="2" a="1"/>
  <c r="E80" i="2" s="1"/>
  <c r="F80" i="2" s="1"/>
  <c r="E81" i="2" a="1"/>
  <c r="E81" i="2" s="1"/>
  <c r="F81" i="2" s="1"/>
  <c r="E82" i="2" a="1"/>
  <c r="E82" i="2" s="1"/>
  <c r="F82" i="2" s="1"/>
  <c r="E83" i="2" a="1"/>
  <c r="E83" i="2" s="1"/>
  <c r="F83" i="2" s="1"/>
  <c r="E84" i="2" a="1"/>
  <c r="E84" i="2" s="1"/>
  <c r="F84" i="2" s="1"/>
  <c r="E85" i="2" a="1"/>
  <c r="E85" i="2" s="1"/>
  <c r="F85" i="2" s="1"/>
  <c r="E86" i="2" a="1"/>
  <c r="E86" i="2" s="1"/>
  <c r="F86" i="2" s="1"/>
  <c r="E87" i="2" a="1"/>
  <c r="E87" i="2" s="1"/>
  <c r="F87" i="2" s="1"/>
  <c r="E88" i="2" a="1"/>
  <c r="E88" i="2" s="1"/>
  <c r="F88" i="2" s="1"/>
  <c r="E89" i="2" a="1"/>
  <c r="E89" i="2" s="1"/>
  <c r="F89" i="2" s="1"/>
  <c r="E90" i="2" a="1"/>
  <c r="E90" i="2" s="1"/>
  <c r="F90" i="2" s="1"/>
  <c r="E91" i="2" a="1"/>
  <c r="E91" i="2" s="1"/>
  <c r="F91" i="2" s="1"/>
  <c r="E92" i="2" a="1"/>
  <c r="E92" i="2" s="1"/>
  <c r="F92" i="2" s="1"/>
  <c r="E93" i="2" a="1"/>
  <c r="E93" i="2" s="1"/>
  <c r="F93" i="2" s="1"/>
  <c r="E94" i="2" a="1"/>
  <c r="E94" i="2" s="1"/>
  <c r="F94" i="2" s="1"/>
  <c r="E95" i="2" a="1"/>
  <c r="E95" i="2" s="1"/>
  <c r="F95" i="2" s="1"/>
  <c r="E96" i="2" a="1"/>
  <c r="E96" i="2" s="1"/>
  <c r="F96" i="2" s="1"/>
  <c r="E97" i="2" a="1"/>
  <c r="E97" i="2" s="1"/>
  <c r="F97" i="2" s="1"/>
  <c r="E98" i="2" a="1"/>
  <c r="E98" i="2" s="1"/>
  <c r="F98" i="2" s="1"/>
  <c r="E99" i="2" a="1"/>
  <c r="E99" i="2" s="1"/>
  <c r="F99" i="2" s="1"/>
  <c r="E100" i="2" a="1"/>
  <c r="E100" i="2" s="1"/>
  <c r="F100" i="2" s="1"/>
  <c r="E101" i="2" a="1"/>
  <c r="E101" i="2" s="1"/>
  <c r="F101" i="2" s="1"/>
  <c r="E102" i="2" a="1"/>
  <c r="E102" i="2" s="1"/>
  <c r="F102" i="2" s="1"/>
  <c r="E103" i="2" a="1"/>
  <c r="E103" i="2" s="1"/>
  <c r="F103" i="2" s="1"/>
  <c r="E104" i="2" a="1"/>
  <c r="E104" i="2" s="1"/>
  <c r="F104" i="2" s="1"/>
  <c r="E105" i="2" a="1"/>
  <c r="E105" i="2" s="1"/>
  <c r="F105" i="2" s="1"/>
  <c r="E106" i="2" a="1"/>
  <c r="E106" i="2" s="1"/>
  <c r="F106" i="2" s="1"/>
  <c r="E107" i="2" a="1"/>
  <c r="E107" i="2" s="1"/>
  <c r="F107" i="2" s="1"/>
  <c r="E108" i="2" a="1"/>
  <c r="E108" i="2" s="1"/>
  <c r="F108" i="2" s="1"/>
  <c r="E109" i="2" a="1"/>
  <c r="E109" i="2" s="1"/>
  <c r="F109" i="2" s="1"/>
  <c r="E110" i="2" a="1"/>
  <c r="E110" i="2" s="1"/>
  <c r="F110" i="2" s="1"/>
  <c r="E111" i="2" a="1"/>
  <c r="E111" i="2" s="1"/>
  <c r="F111" i="2" s="1"/>
  <c r="E112" i="2" a="1"/>
  <c r="E112" i="2" s="1"/>
  <c r="F112" i="2" s="1"/>
  <c r="E113" i="2" a="1"/>
  <c r="E113" i="2" s="1"/>
  <c r="F113" i="2" s="1"/>
  <c r="E114" i="2" a="1"/>
  <c r="E114" i="2" s="1"/>
  <c r="F114" i="2" s="1"/>
  <c r="E115" i="2" a="1"/>
  <c r="E115" i="2" s="1"/>
  <c r="F115" i="2" s="1"/>
  <c r="E116" i="2" a="1"/>
  <c r="E116" i="2" s="1"/>
  <c r="F116" i="2" s="1"/>
  <c r="E117" i="2" a="1"/>
  <c r="E117" i="2" s="1"/>
  <c r="F117" i="2" s="1"/>
  <c r="E118" i="2" a="1"/>
  <c r="E118" i="2" s="1"/>
  <c r="F118" i="2" s="1"/>
  <c r="E119" i="2" a="1"/>
  <c r="E119" i="2" s="1"/>
  <c r="F119" i="2" s="1"/>
  <c r="E120" i="2" a="1"/>
  <c r="E120" i="2" s="1"/>
  <c r="F120" i="2" s="1"/>
  <c r="E121" i="2" a="1"/>
  <c r="E121" i="2" s="1"/>
  <c r="F121" i="2" s="1"/>
  <c r="E122" i="2" a="1"/>
  <c r="E122" i="2" s="1"/>
  <c r="F122" i="2" s="1"/>
  <c r="E123" i="2" a="1"/>
  <c r="E123" i="2" s="1"/>
  <c r="F123" i="2" s="1"/>
  <c r="E124" i="2" a="1"/>
  <c r="E124" i="2" s="1"/>
  <c r="F124" i="2" s="1"/>
  <c r="E125" i="2" a="1"/>
  <c r="E125" i="2" s="1"/>
  <c r="F125" i="2" s="1"/>
  <c r="E126" i="2" a="1"/>
  <c r="E126" i="2" s="1"/>
  <c r="F126" i="2" s="1"/>
  <c r="E127" i="2" a="1"/>
  <c r="E127" i="2" s="1"/>
  <c r="F127" i="2" s="1"/>
  <c r="E128" i="2" a="1"/>
  <c r="E128" i="2" s="1"/>
  <c r="F128" i="2" s="1"/>
  <c r="E129" i="2" a="1"/>
  <c r="E129" i="2" s="1"/>
  <c r="F129" i="2" s="1"/>
  <c r="E130" i="2" a="1"/>
  <c r="E130" i="2" s="1"/>
  <c r="F130" i="2" s="1"/>
  <c r="E131" i="2" a="1"/>
  <c r="E131" i="2" s="1"/>
  <c r="F131" i="2" s="1"/>
  <c r="E132" i="2" a="1"/>
  <c r="E132" i="2" s="1"/>
  <c r="F132" i="2" s="1"/>
  <c r="E133" i="2" a="1"/>
  <c r="E133" i="2" s="1"/>
  <c r="F133" i="2" s="1"/>
  <c r="E134" i="2" a="1"/>
  <c r="E134" i="2" s="1"/>
  <c r="F134" i="2" s="1"/>
  <c r="E135" i="2" a="1"/>
  <c r="E135" i="2" s="1"/>
  <c r="F135" i="2" s="1"/>
  <c r="E136" i="2" a="1"/>
  <c r="E136" i="2" s="1"/>
  <c r="F136" i="2" s="1"/>
  <c r="E137" i="2" a="1"/>
  <c r="E137" i="2" s="1"/>
  <c r="F137" i="2" s="1"/>
  <c r="E138" i="2" a="1"/>
  <c r="E138" i="2" s="1"/>
  <c r="F138" i="2" s="1"/>
  <c r="E139" i="2" a="1"/>
  <c r="E139" i="2" s="1"/>
  <c r="F139" i="2" s="1"/>
  <c r="E140" i="2" a="1"/>
  <c r="E140" i="2" s="1"/>
  <c r="F140" i="2" s="1"/>
  <c r="E141" i="2" a="1"/>
  <c r="E141" i="2" s="1"/>
  <c r="F141" i="2" s="1"/>
  <c r="E142" i="2" a="1"/>
  <c r="E142" i="2" s="1"/>
  <c r="F142" i="2" s="1"/>
  <c r="E143" i="2" a="1"/>
  <c r="E143" i="2" s="1"/>
  <c r="F143" i="2" s="1"/>
  <c r="E144" i="2" a="1"/>
  <c r="E144" i="2" s="1"/>
  <c r="F144" i="2" s="1"/>
  <c r="E145" i="2" a="1"/>
  <c r="E145" i="2" s="1"/>
  <c r="F145" i="2" s="1"/>
  <c r="E146" i="2" a="1"/>
  <c r="E146" i="2" s="1"/>
  <c r="F146" i="2" s="1"/>
  <c r="E147" i="2" a="1"/>
  <c r="E147" i="2" s="1"/>
  <c r="F147" i="2" s="1"/>
  <c r="E148" i="2" a="1"/>
  <c r="E148" i="2" s="1"/>
  <c r="F148" i="2" s="1"/>
  <c r="E149" i="2" a="1"/>
  <c r="E149" i="2" s="1"/>
  <c r="F149" i="2" s="1"/>
  <c r="E150" i="2" a="1"/>
  <c r="E150" i="2" s="1"/>
  <c r="F150" i="2" s="1"/>
  <c r="E151" i="2" a="1"/>
  <c r="E151" i="2" s="1"/>
  <c r="F151" i="2" s="1"/>
  <c r="E152" i="2" a="1"/>
  <c r="E152" i="2" s="1"/>
  <c r="F152" i="2" s="1"/>
  <c r="E153" i="2" a="1"/>
  <c r="E153" i="2" s="1"/>
  <c r="F153" i="2" s="1"/>
  <c r="E154" i="2" a="1"/>
  <c r="E154" i="2" s="1"/>
  <c r="F154" i="2" s="1"/>
  <c r="E155" i="2" a="1"/>
  <c r="E155" i="2" s="1"/>
  <c r="F155" i="2" s="1"/>
  <c r="E156" i="2" a="1"/>
  <c r="E156" i="2" s="1"/>
  <c r="F156" i="2" s="1"/>
  <c r="E157" i="2" a="1"/>
  <c r="E157" i="2" s="1"/>
  <c r="F157" i="2" s="1"/>
  <c r="E158" i="2" a="1"/>
  <c r="E158" i="2" s="1"/>
  <c r="F158" i="2" s="1"/>
  <c r="E159" i="2" a="1"/>
  <c r="E159" i="2" s="1"/>
  <c r="F159" i="2" s="1"/>
  <c r="E160" i="2" a="1"/>
  <c r="E160" i="2" s="1"/>
  <c r="F160" i="2" s="1"/>
  <c r="E161" i="2" a="1"/>
  <c r="E161" i="2" s="1"/>
  <c r="F161" i="2" s="1"/>
  <c r="E162" i="2" a="1"/>
  <c r="E162" i="2" s="1"/>
  <c r="F162" i="2" s="1"/>
  <c r="E163" i="2" a="1"/>
  <c r="E163" i="2" s="1"/>
  <c r="F163" i="2" s="1"/>
  <c r="E164" i="2" a="1"/>
  <c r="E164" i="2" s="1"/>
  <c r="F164" i="2" s="1"/>
  <c r="E165" i="2" a="1"/>
  <c r="E165" i="2" s="1"/>
  <c r="F165" i="2" s="1"/>
  <c r="E166" i="2" a="1"/>
  <c r="E166" i="2" s="1"/>
  <c r="F166" i="2" s="1"/>
  <c r="E167" i="2" a="1"/>
  <c r="E167" i="2" s="1"/>
  <c r="F167" i="2" s="1"/>
  <c r="E168" i="2" a="1"/>
  <c r="E168" i="2" s="1"/>
  <c r="F168" i="2" s="1"/>
  <c r="E169" i="2" a="1"/>
  <c r="E169" i="2" s="1"/>
  <c r="F169" i="2" s="1"/>
  <c r="E170" i="2" a="1"/>
  <c r="E170" i="2" s="1"/>
  <c r="F170" i="2" s="1"/>
  <c r="E171" i="2" a="1"/>
  <c r="E171" i="2" s="1"/>
  <c r="F171" i="2" s="1"/>
  <c r="E172" i="2" a="1"/>
  <c r="E172" i="2" s="1"/>
  <c r="F172" i="2" s="1"/>
  <c r="E173" i="2" a="1"/>
  <c r="E173" i="2" s="1"/>
  <c r="F173" i="2" s="1"/>
  <c r="E174" i="2" a="1"/>
  <c r="E174" i="2" s="1"/>
  <c r="F174" i="2" s="1"/>
  <c r="E175" i="2" a="1"/>
  <c r="E175" i="2" s="1"/>
  <c r="F175" i="2" s="1"/>
  <c r="E176" i="2" a="1"/>
  <c r="E176" i="2" s="1"/>
  <c r="F176" i="2" s="1"/>
  <c r="E177" i="2" a="1"/>
  <c r="E177" i="2" s="1"/>
  <c r="F177" i="2" s="1"/>
  <c r="E178" i="2" a="1"/>
  <c r="E178" i="2" s="1"/>
  <c r="F178" i="2" s="1"/>
  <c r="E179" i="2" a="1"/>
  <c r="E179" i="2" s="1"/>
  <c r="F179" i="2" s="1"/>
  <c r="E180" i="2" a="1"/>
  <c r="E180" i="2" s="1"/>
  <c r="F180" i="2" s="1"/>
  <c r="E181" i="2" a="1"/>
  <c r="E181" i="2" s="1"/>
  <c r="F181" i="2" s="1"/>
  <c r="E182" i="2" a="1"/>
  <c r="E182" i="2" s="1"/>
  <c r="F182" i="2" s="1"/>
  <c r="E183" i="2" a="1"/>
  <c r="E183" i="2" s="1"/>
  <c r="F183" i="2" s="1"/>
  <c r="E184" i="2" a="1"/>
  <c r="E184" i="2" s="1"/>
  <c r="F184" i="2" s="1"/>
  <c r="E185" i="2" a="1"/>
  <c r="E185" i="2" s="1"/>
  <c r="F185" i="2" s="1"/>
  <c r="E186" i="2" a="1"/>
  <c r="E186" i="2" s="1"/>
  <c r="F186" i="2" s="1"/>
  <c r="E187" i="2" a="1"/>
  <c r="E187" i="2" s="1"/>
  <c r="F187" i="2" s="1"/>
  <c r="E188" i="2" a="1"/>
  <c r="E188" i="2" s="1"/>
  <c r="F188" i="2" s="1"/>
  <c r="E189" i="2" a="1"/>
  <c r="E189" i="2" s="1"/>
  <c r="F189" i="2" s="1"/>
  <c r="E190" i="2" a="1"/>
  <c r="E190" i="2" s="1"/>
  <c r="F190" i="2" s="1"/>
  <c r="E191" i="2" a="1"/>
  <c r="E191" i="2" s="1"/>
  <c r="F191" i="2" s="1"/>
  <c r="E192" i="2" a="1"/>
  <c r="E192" i="2" s="1"/>
  <c r="F192" i="2" s="1"/>
  <c r="E193" i="2" a="1"/>
  <c r="E193" i="2" s="1"/>
  <c r="F193" i="2" s="1"/>
  <c r="E194" i="2" a="1"/>
  <c r="E194" i="2" s="1"/>
  <c r="F194" i="2" s="1"/>
  <c r="E195" i="2" a="1"/>
  <c r="E195" i="2" s="1"/>
  <c r="F195" i="2" s="1"/>
  <c r="E196" i="2" a="1"/>
  <c r="E196" i="2" s="1"/>
  <c r="F196" i="2" s="1"/>
  <c r="E197" i="2" a="1"/>
  <c r="E197" i="2" s="1"/>
  <c r="F197" i="2" s="1"/>
  <c r="E198" i="2" a="1"/>
  <c r="E198" i="2" s="1"/>
  <c r="F198" i="2" s="1"/>
  <c r="E199" i="2" a="1"/>
  <c r="E199" i="2" s="1"/>
  <c r="F199" i="2" s="1"/>
  <c r="E200" i="2" a="1"/>
  <c r="E200" i="2" s="1"/>
  <c r="F200" i="2" s="1"/>
  <c r="E201" i="2" a="1"/>
  <c r="E201" i="2" s="1"/>
  <c r="F201" i="2" s="1"/>
  <c r="E23" i="2" a="1"/>
  <c r="E23" i="2" s="1"/>
  <c r="F23" i="2" s="1"/>
  <c r="E24" i="2" a="1"/>
  <c r="E24" i="2" s="1"/>
  <c r="F24" i="2" s="1"/>
  <c r="E25" i="2" a="1"/>
  <c r="E25" i="2" s="1"/>
  <c r="F25" i="2" s="1"/>
  <c r="E26" i="2" a="1"/>
  <c r="E26" i="2" s="1"/>
  <c r="F26" i="2" s="1"/>
  <c r="E27" i="2" a="1"/>
  <c r="E27" i="2" s="1"/>
  <c r="F27" i="2" s="1"/>
  <c r="E28" i="2" a="1"/>
  <c r="E28" i="2" s="1"/>
  <c r="F28" i="2" s="1"/>
  <c r="E29" i="2" a="1"/>
  <c r="E29" i="2" s="1"/>
  <c r="F29" i="2" s="1"/>
  <c r="E30" i="2" a="1"/>
  <c r="E30" i="2" s="1"/>
  <c r="F30" i="2" s="1"/>
  <c r="E22" i="2" a="1"/>
  <c r="E22" i="2" s="1"/>
  <c r="F22" i="2" s="1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2" i="2"/>
  <c r="B23" i="2" a="1"/>
  <c r="B23" i="2" s="1"/>
  <c r="C23" i="2" s="1"/>
  <c r="B24" i="2" a="1"/>
  <c r="B24" i="2" s="1"/>
  <c r="C24" i="2" s="1"/>
  <c r="B25" i="2" a="1"/>
  <c r="B25" i="2" s="1"/>
  <c r="C25" i="2" s="1"/>
  <c r="B26" i="2" a="1"/>
  <c r="B26" i="2" s="1"/>
  <c r="C26" i="2" s="1"/>
  <c r="B27" i="2" a="1"/>
  <c r="B27" i="2" s="1"/>
  <c r="C27" i="2" s="1"/>
  <c r="B28" i="2" a="1"/>
  <c r="B28" i="2" s="1"/>
  <c r="C28" i="2" s="1"/>
  <c r="B29" i="2" a="1"/>
  <c r="B29" i="2" s="1"/>
  <c r="C29" i="2" s="1"/>
  <c r="B30" i="2" a="1"/>
  <c r="B30" i="2" s="1"/>
  <c r="C30" i="2" s="1"/>
  <c r="B31" i="2" a="1"/>
  <c r="B31" i="2" s="1"/>
  <c r="C31" i="2" s="1"/>
  <c r="B32" i="2" a="1"/>
  <c r="B32" i="2" s="1"/>
  <c r="C32" i="2" s="1"/>
  <c r="B33" i="2" a="1"/>
  <c r="B33" i="2" s="1"/>
  <c r="C33" i="2" s="1"/>
  <c r="B34" i="2" a="1"/>
  <c r="B34" i="2" s="1"/>
  <c r="C34" i="2" s="1"/>
  <c r="B35" i="2" a="1"/>
  <c r="B35" i="2" s="1"/>
  <c r="C35" i="2" s="1"/>
  <c r="B36" i="2" a="1"/>
  <c r="B36" i="2" s="1"/>
  <c r="C36" i="2" s="1"/>
  <c r="B37" i="2" a="1"/>
  <c r="B37" i="2" s="1"/>
  <c r="C37" i="2" s="1"/>
  <c r="B38" i="2" a="1"/>
  <c r="B38" i="2" s="1"/>
  <c r="C38" i="2" s="1"/>
  <c r="B39" i="2" a="1"/>
  <c r="B39" i="2" s="1"/>
  <c r="C39" i="2" s="1"/>
  <c r="B40" i="2" a="1"/>
  <c r="B40" i="2" s="1"/>
  <c r="C40" i="2" s="1"/>
  <c r="B41" i="2" a="1"/>
  <c r="B41" i="2" s="1"/>
  <c r="C41" i="2" s="1"/>
  <c r="B42" i="2" a="1"/>
  <c r="B42" i="2" s="1"/>
  <c r="C42" i="2" s="1"/>
  <c r="B43" i="2" a="1"/>
  <c r="B43" i="2" s="1"/>
  <c r="C43" i="2" s="1"/>
  <c r="B44" i="2" a="1"/>
  <c r="B44" i="2" s="1"/>
  <c r="C44" i="2" s="1"/>
  <c r="B45" i="2" a="1"/>
  <c r="B45" i="2" s="1"/>
  <c r="C45" i="2" s="1"/>
  <c r="B46" i="2" a="1"/>
  <c r="B46" i="2" s="1"/>
  <c r="C46" i="2" s="1"/>
  <c r="B47" i="2" a="1"/>
  <c r="B47" i="2" s="1"/>
  <c r="C47" i="2" s="1"/>
  <c r="B48" i="2" a="1"/>
  <c r="B48" i="2" s="1"/>
  <c r="C48" i="2" s="1"/>
  <c r="B49" i="2" a="1"/>
  <c r="B49" i="2" s="1"/>
  <c r="C49" i="2" s="1"/>
  <c r="B50" i="2" a="1"/>
  <c r="B50" i="2" s="1"/>
  <c r="C50" i="2" s="1"/>
  <c r="B51" i="2" a="1"/>
  <c r="B51" i="2" s="1"/>
  <c r="C51" i="2" s="1"/>
  <c r="B52" i="2" a="1"/>
  <c r="B52" i="2" s="1"/>
  <c r="C52" i="2" s="1"/>
  <c r="B53" i="2" a="1"/>
  <c r="B53" i="2" s="1"/>
  <c r="C53" i="2" s="1"/>
  <c r="B54" i="2" a="1"/>
  <c r="B54" i="2" s="1"/>
  <c r="C54" i="2" s="1"/>
  <c r="B55" i="2" a="1"/>
  <c r="B55" i="2" s="1"/>
  <c r="C55" i="2" s="1"/>
  <c r="B56" i="2" a="1"/>
  <c r="B56" i="2" s="1"/>
  <c r="C56" i="2" s="1"/>
  <c r="B57" i="2" a="1"/>
  <c r="B57" i="2" s="1"/>
  <c r="C57" i="2" s="1"/>
  <c r="B58" i="2" a="1"/>
  <c r="B58" i="2" s="1"/>
  <c r="C58" i="2" s="1"/>
  <c r="B59" i="2" a="1"/>
  <c r="B59" i="2" s="1"/>
  <c r="C59" i="2" s="1"/>
  <c r="B60" i="2" a="1"/>
  <c r="B60" i="2" s="1"/>
  <c r="C60" i="2" s="1"/>
  <c r="B61" i="2" a="1"/>
  <c r="B61" i="2" s="1"/>
  <c r="C61" i="2" s="1"/>
  <c r="B62" i="2" a="1"/>
  <c r="B62" i="2" s="1"/>
  <c r="C62" i="2" s="1"/>
  <c r="B63" i="2" a="1"/>
  <c r="B63" i="2" s="1"/>
  <c r="C63" i="2" s="1"/>
  <c r="B64" i="2" a="1"/>
  <c r="B64" i="2" s="1"/>
  <c r="C64" i="2" s="1"/>
  <c r="B65" i="2" a="1"/>
  <c r="B65" i="2" s="1"/>
  <c r="C65" i="2" s="1"/>
  <c r="B66" i="2" a="1"/>
  <c r="B66" i="2" s="1"/>
  <c r="C66" i="2" s="1"/>
  <c r="B67" i="2" a="1"/>
  <c r="B67" i="2" s="1"/>
  <c r="C67" i="2" s="1"/>
  <c r="B68" i="2" a="1"/>
  <c r="B68" i="2" s="1"/>
  <c r="C68" i="2" s="1"/>
  <c r="B69" i="2" a="1"/>
  <c r="B69" i="2" s="1"/>
  <c r="C69" i="2" s="1"/>
  <c r="B70" i="2" a="1"/>
  <c r="B70" i="2" s="1"/>
  <c r="C70" i="2" s="1"/>
  <c r="B71" i="2" a="1"/>
  <c r="B71" i="2" s="1"/>
  <c r="C71" i="2" s="1"/>
  <c r="B72" i="2" a="1"/>
  <c r="B72" i="2" s="1"/>
  <c r="C72" i="2" s="1"/>
  <c r="B73" i="2" a="1"/>
  <c r="B73" i="2" s="1"/>
  <c r="C73" i="2" s="1"/>
  <c r="B74" i="2" a="1"/>
  <c r="B74" i="2" s="1"/>
  <c r="C74" i="2" s="1"/>
  <c r="B75" i="2" a="1"/>
  <c r="B75" i="2" s="1"/>
  <c r="C75" i="2" s="1"/>
  <c r="B76" i="2" a="1"/>
  <c r="B76" i="2" s="1"/>
  <c r="C76" i="2" s="1"/>
  <c r="B77" i="2" a="1"/>
  <c r="B77" i="2" s="1"/>
  <c r="C77" i="2" s="1"/>
  <c r="B78" i="2" a="1"/>
  <c r="B78" i="2" s="1"/>
  <c r="C78" i="2" s="1"/>
  <c r="B79" i="2" a="1"/>
  <c r="B79" i="2" s="1"/>
  <c r="C79" i="2" s="1"/>
  <c r="B80" i="2" a="1"/>
  <c r="B80" i="2" s="1"/>
  <c r="C80" i="2" s="1"/>
  <c r="B81" i="2" a="1"/>
  <c r="B81" i="2" s="1"/>
  <c r="C81" i="2" s="1"/>
  <c r="B82" i="2" a="1"/>
  <c r="B82" i="2" s="1"/>
  <c r="C82" i="2" s="1"/>
  <c r="B83" i="2" a="1"/>
  <c r="B83" i="2" s="1"/>
  <c r="C83" i="2" s="1"/>
  <c r="B84" i="2" a="1"/>
  <c r="B84" i="2" s="1"/>
  <c r="C84" i="2" s="1"/>
  <c r="B85" i="2" a="1"/>
  <c r="B85" i="2" s="1"/>
  <c r="C85" i="2" s="1"/>
  <c r="B86" i="2" a="1"/>
  <c r="B86" i="2" s="1"/>
  <c r="C86" i="2" s="1"/>
  <c r="B87" i="2" a="1"/>
  <c r="B87" i="2" s="1"/>
  <c r="C87" i="2" s="1"/>
  <c r="B88" i="2" a="1"/>
  <c r="B88" i="2" s="1"/>
  <c r="C88" i="2" s="1"/>
  <c r="B89" i="2" a="1"/>
  <c r="B89" i="2" s="1"/>
  <c r="C89" i="2" s="1"/>
  <c r="B90" i="2" a="1"/>
  <c r="B90" i="2" s="1"/>
  <c r="C90" i="2" s="1"/>
  <c r="B91" i="2" a="1"/>
  <c r="B91" i="2" s="1"/>
  <c r="C91" i="2" s="1"/>
  <c r="B92" i="2" a="1"/>
  <c r="B92" i="2" s="1"/>
  <c r="C92" i="2" s="1"/>
  <c r="B93" i="2" a="1"/>
  <c r="B93" i="2" s="1"/>
  <c r="C93" i="2" s="1"/>
  <c r="B94" i="2" a="1"/>
  <c r="B94" i="2" s="1"/>
  <c r="C94" i="2" s="1"/>
  <c r="B95" i="2" a="1"/>
  <c r="B95" i="2" s="1"/>
  <c r="C95" i="2" s="1"/>
  <c r="B96" i="2" a="1"/>
  <c r="B96" i="2" s="1"/>
  <c r="C96" i="2" s="1"/>
  <c r="B97" i="2" a="1"/>
  <c r="B97" i="2" s="1"/>
  <c r="C97" i="2" s="1"/>
  <c r="B98" i="2" a="1"/>
  <c r="B98" i="2" s="1"/>
  <c r="C98" i="2" s="1"/>
  <c r="B99" i="2" a="1"/>
  <c r="B99" i="2" s="1"/>
  <c r="C99" i="2" s="1"/>
  <c r="B100" i="2" a="1"/>
  <c r="B100" i="2" s="1"/>
  <c r="C100" i="2" s="1"/>
  <c r="B101" i="2" a="1"/>
  <c r="B101" i="2" s="1"/>
  <c r="C101" i="2" s="1"/>
  <c r="B102" i="2" a="1"/>
  <c r="B102" i="2" s="1"/>
  <c r="C102" i="2" s="1"/>
  <c r="B103" i="2" a="1"/>
  <c r="B103" i="2" s="1"/>
  <c r="C103" i="2" s="1"/>
  <c r="B104" i="2" a="1"/>
  <c r="B104" i="2" s="1"/>
  <c r="C104" i="2" s="1"/>
  <c r="B105" i="2" a="1"/>
  <c r="B105" i="2" s="1"/>
  <c r="C105" i="2" s="1"/>
  <c r="B106" i="2" a="1"/>
  <c r="B106" i="2" s="1"/>
  <c r="C106" i="2" s="1"/>
  <c r="B107" i="2" a="1"/>
  <c r="B107" i="2" s="1"/>
  <c r="C107" i="2" s="1"/>
  <c r="B108" i="2" a="1"/>
  <c r="B108" i="2" s="1"/>
  <c r="C108" i="2" s="1"/>
  <c r="B109" i="2" a="1"/>
  <c r="B109" i="2" s="1"/>
  <c r="C109" i="2" s="1"/>
  <c r="B110" i="2" a="1"/>
  <c r="B110" i="2" s="1"/>
  <c r="C110" i="2" s="1"/>
  <c r="B111" i="2" a="1"/>
  <c r="B111" i="2" s="1"/>
  <c r="C111" i="2" s="1"/>
  <c r="B112" i="2" a="1"/>
  <c r="B112" i="2" s="1"/>
  <c r="C112" i="2" s="1"/>
  <c r="B113" i="2" a="1"/>
  <c r="B113" i="2" s="1"/>
  <c r="C113" i="2" s="1"/>
  <c r="B114" i="2" a="1"/>
  <c r="B114" i="2" s="1"/>
  <c r="C114" i="2" s="1"/>
  <c r="B115" i="2" a="1"/>
  <c r="B115" i="2" s="1"/>
  <c r="C115" i="2" s="1"/>
  <c r="B116" i="2" a="1"/>
  <c r="B116" i="2" s="1"/>
  <c r="C116" i="2" s="1"/>
  <c r="B117" i="2" a="1"/>
  <c r="B117" i="2" s="1"/>
  <c r="C117" i="2" s="1"/>
  <c r="B118" i="2" a="1"/>
  <c r="B118" i="2" s="1"/>
  <c r="C118" i="2" s="1"/>
  <c r="B119" i="2" a="1"/>
  <c r="B119" i="2" s="1"/>
  <c r="C119" i="2" s="1"/>
  <c r="B120" i="2" a="1"/>
  <c r="B120" i="2" s="1"/>
  <c r="C120" i="2" s="1"/>
  <c r="B121" i="2" a="1"/>
  <c r="B121" i="2" s="1"/>
  <c r="C121" i="2" s="1"/>
  <c r="B122" i="2" a="1"/>
  <c r="B122" i="2" s="1"/>
  <c r="C122" i="2" s="1"/>
  <c r="B123" i="2" a="1"/>
  <c r="B123" i="2" s="1"/>
  <c r="C123" i="2" s="1"/>
  <c r="B124" i="2" a="1"/>
  <c r="B124" i="2" s="1"/>
  <c r="C124" i="2" s="1"/>
  <c r="B125" i="2" a="1"/>
  <c r="B125" i="2" s="1"/>
  <c r="C125" i="2" s="1"/>
  <c r="B126" i="2" a="1"/>
  <c r="B126" i="2" s="1"/>
  <c r="C126" i="2" s="1"/>
  <c r="B127" i="2" a="1"/>
  <c r="B127" i="2" s="1"/>
  <c r="C127" i="2" s="1"/>
  <c r="B128" i="2" a="1"/>
  <c r="B128" i="2" s="1"/>
  <c r="C128" i="2" s="1"/>
  <c r="B129" i="2" a="1"/>
  <c r="B129" i="2" s="1"/>
  <c r="C129" i="2" s="1"/>
  <c r="B130" i="2" a="1"/>
  <c r="B130" i="2" s="1"/>
  <c r="C130" i="2" s="1"/>
  <c r="B131" i="2" a="1"/>
  <c r="B131" i="2" s="1"/>
  <c r="C131" i="2" s="1"/>
  <c r="B132" i="2" a="1"/>
  <c r="B132" i="2" s="1"/>
  <c r="C132" i="2" s="1"/>
  <c r="B133" i="2" a="1"/>
  <c r="B133" i="2" s="1"/>
  <c r="C133" i="2" s="1"/>
  <c r="B134" i="2" a="1"/>
  <c r="B134" i="2" s="1"/>
  <c r="C134" i="2" s="1"/>
  <c r="B135" i="2" a="1"/>
  <c r="B135" i="2" s="1"/>
  <c r="C135" i="2" s="1"/>
  <c r="B136" i="2" a="1"/>
  <c r="B136" i="2" s="1"/>
  <c r="C136" i="2" s="1"/>
  <c r="B137" i="2" a="1"/>
  <c r="B137" i="2" s="1"/>
  <c r="C137" i="2" s="1"/>
  <c r="B138" i="2" a="1"/>
  <c r="B138" i="2" s="1"/>
  <c r="C138" i="2" s="1"/>
  <c r="B139" i="2" a="1"/>
  <c r="B139" i="2" s="1"/>
  <c r="C139" i="2" s="1"/>
  <c r="B140" i="2" a="1"/>
  <c r="B140" i="2" s="1"/>
  <c r="C140" i="2" s="1"/>
  <c r="B141" i="2" a="1"/>
  <c r="B141" i="2" s="1"/>
  <c r="C141" i="2" s="1"/>
  <c r="B142" i="2" a="1"/>
  <c r="B142" i="2" s="1"/>
  <c r="C142" i="2" s="1"/>
  <c r="B143" i="2" a="1"/>
  <c r="B143" i="2" s="1"/>
  <c r="C143" i="2" s="1"/>
  <c r="B144" i="2" a="1"/>
  <c r="B144" i="2" s="1"/>
  <c r="C144" i="2" s="1"/>
  <c r="B145" i="2" a="1"/>
  <c r="B145" i="2" s="1"/>
  <c r="C145" i="2" s="1"/>
  <c r="B146" i="2" a="1"/>
  <c r="B146" i="2" s="1"/>
  <c r="C146" i="2" s="1"/>
  <c r="B147" i="2" a="1"/>
  <c r="B147" i="2" s="1"/>
  <c r="C147" i="2" s="1"/>
  <c r="B148" i="2" a="1"/>
  <c r="B148" i="2" s="1"/>
  <c r="C148" i="2" s="1"/>
  <c r="B149" i="2" a="1"/>
  <c r="B149" i="2" s="1"/>
  <c r="C149" i="2" s="1"/>
  <c r="B150" i="2" a="1"/>
  <c r="B150" i="2" s="1"/>
  <c r="C150" i="2" s="1"/>
  <c r="B151" i="2" a="1"/>
  <c r="B151" i="2" s="1"/>
  <c r="C151" i="2" s="1"/>
  <c r="B152" i="2" a="1"/>
  <c r="B152" i="2" s="1"/>
  <c r="C152" i="2" s="1"/>
  <c r="B153" i="2" a="1"/>
  <c r="B153" i="2" s="1"/>
  <c r="C153" i="2" s="1"/>
  <c r="B154" i="2" a="1"/>
  <c r="B154" i="2" s="1"/>
  <c r="C154" i="2" s="1"/>
  <c r="B155" i="2" a="1"/>
  <c r="B155" i="2" s="1"/>
  <c r="C155" i="2" s="1"/>
  <c r="B156" i="2" a="1"/>
  <c r="B156" i="2" s="1"/>
  <c r="C156" i="2" s="1"/>
  <c r="B157" i="2" a="1"/>
  <c r="B157" i="2" s="1"/>
  <c r="C157" i="2" s="1"/>
  <c r="B158" i="2" a="1"/>
  <c r="B158" i="2" s="1"/>
  <c r="C158" i="2" s="1"/>
  <c r="B159" i="2" a="1"/>
  <c r="B159" i="2" s="1"/>
  <c r="C159" i="2" s="1"/>
  <c r="B160" i="2" a="1"/>
  <c r="B160" i="2" s="1"/>
  <c r="C160" i="2" s="1"/>
  <c r="B161" i="2" a="1"/>
  <c r="B161" i="2" s="1"/>
  <c r="C161" i="2" s="1"/>
  <c r="B162" i="2" a="1"/>
  <c r="B162" i="2" s="1"/>
  <c r="C162" i="2" s="1"/>
  <c r="B163" i="2" a="1"/>
  <c r="B163" i="2" s="1"/>
  <c r="C163" i="2" s="1"/>
  <c r="B164" i="2" a="1"/>
  <c r="B164" i="2" s="1"/>
  <c r="C164" i="2" s="1"/>
  <c r="B165" i="2" a="1"/>
  <c r="B165" i="2" s="1"/>
  <c r="C165" i="2" s="1"/>
  <c r="B166" i="2" a="1"/>
  <c r="B166" i="2" s="1"/>
  <c r="C166" i="2" s="1"/>
  <c r="B167" i="2" a="1"/>
  <c r="B167" i="2" s="1"/>
  <c r="C167" i="2" s="1"/>
  <c r="B168" i="2" a="1"/>
  <c r="B168" i="2" s="1"/>
  <c r="C168" i="2" s="1"/>
  <c r="B169" i="2" a="1"/>
  <c r="B169" i="2" s="1"/>
  <c r="C169" i="2" s="1"/>
  <c r="B170" i="2" a="1"/>
  <c r="B170" i="2" s="1"/>
  <c r="C170" i="2" s="1"/>
  <c r="B171" i="2" a="1"/>
  <c r="B171" i="2" s="1"/>
  <c r="C171" i="2" s="1"/>
  <c r="B172" i="2" a="1"/>
  <c r="B172" i="2" s="1"/>
  <c r="C172" i="2" s="1"/>
  <c r="B173" i="2" a="1"/>
  <c r="B173" i="2" s="1"/>
  <c r="C173" i="2" s="1"/>
  <c r="B174" i="2" a="1"/>
  <c r="B174" i="2" s="1"/>
  <c r="C174" i="2" s="1"/>
  <c r="B175" i="2" a="1"/>
  <c r="B175" i="2" s="1"/>
  <c r="C175" i="2" s="1"/>
  <c r="B176" i="2" a="1"/>
  <c r="B176" i="2" s="1"/>
  <c r="C176" i="2" s="1"/>
  <c r="B177" i="2" a="1"/>
  <c r="B177" i="2" s="1"/>
  <c r="C177" i="2" s="1"/>
  <c r="B178" i="2" a="1"/>
  <c r="B178" i="2" s="1"/>
  <c r="C178" i="2" s="1"/>
  <c r="B179" i="2" a="1"/>
  <c r="B179" i="2" s="1"/>
  <c r="C179" i="2" s="1"/>
  <c r="B180" i="2" a="1"/>
  <c r="B180" i="2" s="1"/>
  <c r="C180" i="2" s="1"/>
  <c r="B181" i="2" a="1"/>
  <c r="B181" i="2" s="1"/>
  <c r="C181" i="2" s="1"/>
  <c r="B182" i="2" a="1"/>
  <c r="B182" i="2" s="1"/>
  <c r="C182" i="2" s="1"/>
  <c r="B183" i="2" a="1"/>
  <c r="B183" i="2" s="1"/>
  <c r="C183" i="2" s="1"/>
  <c r="B184" i="2" a="1"/>
  <c r="B184" i="2" s="1"/>
  <c r="C184" i="2" s="1"/>
  <c r="B185" i="2" a="1"/>
  <c r="B185" i="2" s="1"/>
  <c r="C185" i="2" s="1"/>
  <c r="B186" i="2" a="1"/>
  <c r="B186" i="2" s="1"/>
  <c r="C186" i="2" s="1"/>
  <c r="B187" i="2" a="1"/>
  <c r="B187" i="2" s="1"/>
  <c r="C187" i="2" s="1"/>
  <c r="B188" i="2" a="1"/>
  <c r="B188" i="2" s="1"/>
  <c r="C188" i="2" s="1"/>
  <c r="B189" i="2" a="1"/>
  <c r="B189" i="2" s="1"/>
  <c r="C189" i="2" s="1"/>
  <c r="B190" i="2" a="1"/>
  <c r="B190" i="2" s="1"/>
  <c r="C190" i="2" s="1"/>
  <c r="B191" i="2" a="1"/>
  <c r="B191" i="2" s="1"/>
  <c r="C191" i="2" s="1"/>
  <c r="B192" i="2" a="1"/>
  <c r="B192" i="2" s="1"/>
  <c r="C192" i="2" s="1"/>
  <c r="B193" i="2" a="1"/>
  <c r="B193" i="2" s="1"/>
  <c r="C193" i="2" s="1"/>
  <c r="B194" i="2" a="1"/>
  <c r="B194" i="2" s="1"/>
  <c r="C194" i="2" s="1"/>
  <c r="B195" i="2" a="1"/>
  <c r="B195" i="2" s="1"/>
  <c r="C195" i="2" s="1"/>
  <c r="B196" i="2" a="1"/>
  <c r="B196" i="2" s="1"/>
  <c r="C196" i="2" s="1"/>
  <c r="B197" i="2" a="1"/>
  <c r="B197" i="2" s="1"/>
  <c r="C197" i="2" s="1"/>
  <c r="B198" i="2" a="1"/>
  <c r="B198" i="2" s="1"/>
  <c r="C198" i="2" s="1"/>
  <c r="B199" i="2" a="1"/>
  <c r="B199" i="2" s="1"/>
  <c r="C199" i="2" s="1"/>
  <c r="B200" i="2" a="1"/>
  <c r="B200" i="2" s="1"/>
  <c r="C200" i="2" s="1"/>
  <c r="B201" i="2" a="1"/>
  <c r="B201" i="2" s="1"/>
  <c r="C201" i="2" s="1"/>
  <c r="B22" i="2" a="1"/>
  <c r="B22" i="2" s="1"/>
  <c r="C22" i="2" s="1"/>
  <c r="I907" i="5" l="1"/>
  <c r="I906" i="5"/>
  <c r="I690" i="5"/>
  <c r="I390" i="5"/>
  <c r="I689" i="5"/>
  <c r="I4" i="5"/>
  <c r="I2" i="5"/>
  <c r="I109" i="5"/>
  <c r="I992" i="5"/>
  <c r="I442" i="5"/>
  <c r="I405" i="5"/>
  <c r="I309" i="5"/>
  <c r="I261" i="5"/>
  <c r="I81" i="5"/>
  <c r="I33" i="5"/>
  <c r="I863" i="5"/>
  <c r="I539" i="5"/>
  <c r="I515" i="5"/>
  <c r="I443" i="5"/>
  <c r="I335" i="5"/>
  <c r="I107" i="5"/>
  <c r="I59" i="5"/>
  <c r="I993" i="5"/>
  <c r="I933" i="5"/>
  <c r="I885" i="5"/>
  <c r="I789" i="5"/>
  <c r="I741" i="5"/>
  <c r="I693" i="5"/>
  <c r="I621" i="5"/>
  <c r="I513" i="5"/>
  <c r="I514" i="5"/>
  <c r="I58" i="5"/>
  <c r="I34" i="5"/>
  <c r="I980" i="5"/>
  <c r="I956" i="5"/>
  <c r="I944" i="5"/>
  <c r="I932" i="5"/>
  <c r="I908" i="5"/>
  <c r="I884" i="5"/>
  <c r="I860" i="5"/>
  <c r="I836" i="5"/>
  <c r="I812" i="5"/>
  <c r="I788" i="5"/>
  <c r="I764" i="5"/>
  <c r="I740" i="5"/>
  <c r="I668" i="5"/>
  <c r="I644" i="5"/>
  <c r="I620" i="5"/>
  <c r="I596" i="5"/>
  <c r="I572" i="5"/>
  <c r="I560" i="5"/>
  <c r="I512" i="5"/>
  <c r="I464" i="5"/>
  <c r="I452" i="5"/>
  <c r="I404" i="5"/>
  <c r="I380" i="5"/>
  <c r="I356" i="5"/>
  <c r="I284" i="5"/>
  <c r="I260" i="5"/>
  <c r="I236" i="5"/>
  <c r="I212" i="5"/>
  <c r="I188" i="5"/>
  <c r="I176" i="5"/>
  <c r="I128" i="5"/>
  <c r="I80" i="5"/>
  <c r="I68" i="5"/>
  <c r="I20" i="5"/>
  <c r="I979" i="5"/>
  <c r="I955" i="5"/>
  <c r="I931" i="5"/>
  <c r="I883" i="5"/>
  <c r="I859" i="5"/>
  <c r="I835" i="5"/>
  <c r="I811" i="5"/>
  <c r="I799" i="5"/>
  <c r="I787" i="5"/>
  <c r="I739" i="5"/>
  <c r="I667" i="5"/>
  <c r="I643" i="5"/>
  <c r="I619" i="5"/>
  <c r="I595" i="5"/>
  <c r="I571" i="5"/>
  <c r="I559" i="5"/>
  <c r="I547" i="5"/>
  <c r="I511" i="5"/>
  <c r="I463" i="5"/>
  <c r="I367" i="5"/>
  <c r="I355" i="5"/>
  <c r="I283" i="5"/>
  <c r="I259" i="5"/>
  <c r="I235" i="5"/>
  <c r="I211" i="5"/>
  <c r="I187" i="5"/>
  <c r="I175" i="5"/>
  <c r="I163" i="5"/>
  <c r="I127" i="5"/>
  <c r="I79" i="5"/>
  <c r="I19" i="5"/>
  <c r="I978" i="5"/>
  <c r="I954" i="5"/>
  <c r="I882" i="5"/>
  <c r="I858" i="5"/>
  <c r="I810" i="5"/>
  <c r="I798" i="5"/>
  <c r="I786" i="5"/>
  <c r="I750" i="5"/>
  <c r="I738" i="5"/>
  <c r="I702" i="5"/>
  <c r="I642" i="5"/>
  <c r="I594" i="5"/>
  <c r="I582" i="5"/>
  <c r="I558" i="5"/>
  <c r="I546" i="5"/>
  <c r="I534" i="5"/>
  <c r="I510" i="5"/>
  <c r="I486" i="5"/>
  <c r="I462" i="5"/>
  <c r="I438" i="5"/>
  <c r="I414" i="5"/>
  <c r="I366" i="5"/>
  <c r="I354" i="5"/>
  <c r="I318" i="5"/>
  <c r="I306" i="5"/>
  <c r="I258" i="5"/>
  <c r="I210" i="5"/>
  <c r="I198" i="5"/>
  <c r="I174" i="5"/>
  <c r="I162" i="5"/>
  <c r="I150" i="5"/>
  <c r="I126" i="5"/>
  <c r="I102" i="5"/>
  <c r="I78" i="5"/>
  <c r="I54" i="5"/>
  <c r="I30" i="5"/>
  <c r="I18" i="5"/>
  <c r="I1001" i="5"/>
  <c r="I989" i="5"/>
  <c r="I977" i="5"/>
  <c r="I965" i="5"/>
  <c r="I953" i="5"/>
  <c r="I941" i="5"/>
  <c r="I929" i="5"/>
  <c r="I917" i="5"/>
  <c r="I905" i="5"/>
  <c r="I893" i="5"/>
  <c r="I881" i="5"/>
  <c r="I869" i="5"/>
  <c r="I857" i="5"/>
  <c r="I845" i="5"/>
  <c r="I833" i="5"/>
  <c r="I821" i="5"/>
  <c r="I809" i="5"/>
  <c r="I797" i="5"/>
  <c r="I785" i="5"/>
  <c r="I773" i="5"/>
  <c r="I761" i="5"/>
  <c r="I749" i="5"/>
  <c r="I737" i="5"/>
  <c r="I725" i="5"/>
  <c r="I713" i="5"/>
  <c r="I701" i="5"/>
  <c r="I677" i="5"/>
  <c r="I665" i="5"/>
  <c r="I653" i="5"/>
  <c r="I641" i="5"/>
  <c r="I629" i="5"/>
  <c r="I617" i="5"/>
  <c r="I605" i="5"/>
  <c r="I593" i="5"/>
  <c r="I581" i="5"/>
  <c r="I569" i="5"/>
  <c r="I557" i="5"/>
  <c r="I545" i="5"/>
  <c r="I533" i="5"/>
  <c r="I521" i="5"/>
  <c r="I509" i="5"/>
  <c r="I497" i="5"/>
  <c r="I485" i="5"/>
  <c r="I473" i="5"/>
  <c r="I461" i="5"/>
  <c r="I449" i="5"/>
  <c r="I437" i="5"/>
  <c r="I425" i="5"/>
  <c r="I413" i="5"/>
  <c r="I401" i="5"/>
  <c r="I389" i="5"/>
  <c r="I377" i="5"/>
  <c r="I365" i="5"/>
  <c r="I353" i="5"/>
  <c r="I341" i="5"/>
  <c r="I329" i="5"/>
  <c r="I317" i="5"/>
  <c r="I305" i="5"/>
  <c r="I293" i="5"/>
  <c r="I257" i="5"/>
  <c r="I209" i="5"/>
  <c r="I945" i="5"/>
  <c r="I453" i="5"/>
  <c r="I357" i="5"/>
  <c r="I285" i="5"/>
  <c r="I837" i="5"/>
  <c r="I645" i="5"/>
  <c r="I465" i="5"/>
  <c r="I381" i="5"/>
  <c r="I237" i="5"/>
  <c r="I129" i="5"/>
  <c r="I745" i="5"/>
  <c r="I337" i="5"/>
  <c r="I189" i="5"/>
  <c r="I996" i="5"/>
  <c r="I984" i="5"/>
  <c r="I149" i="5"/>
  <c r="I973" i="5"/>
  <c r="I961" i="5"/>
  <c r="I937" i="5"/>
  <c r="I925" i="5"/>
  <c r="I913" i="5"/>
  <c r="I877" i="5"/>
  <c r="I865" i="5"/>
  <c r="I841" i="5"/>
  <c r="I829" i="5"/>
  <c r="I817" i="5"/>
  <c r="I781" i="5"/>
  <c r="I721" i="5"/>
  <c r="I697" i="5"/>
  <c r="I685" i="5"/>
  <c r="I673" i="5"/>
  <c r="I637" i="5"/>
  <c r="I601" i="5"/>
  <c r="I589" i="5"/>
  <c r="I577" i="5"/>
  <c r="I553" i="5"/>
  <c r="I529" i="5"/>
  <c r="I505" i="5"/>
  <c r="I493" i="5"/>
  <c r="I481" i="5"/>
  <c r="I445" i="5"/>
  <c r="I409" i="5"/>
  <c r="I957" i="5"/>
  <c r="I669" i="5"/>
  <c r="I561" i="5"/>
  <c r="I101" i="5"/>
  <c r="I82" i="5"/>
  <c r="I972" i="5"/>
  <c r="I960" i="5"/>
  <c r="I948" i="5"/>
  <c r="I936" i="5"/>
  <c r="I924" i="5"/>
  <c r="I912" i="5"/>
  <c r="I900" i="5"/>
  <c r="I888" i="5"/>
  <c r="I876" i="5"/>
  <c r="I864" i="5"/>
  <c r="I852" i="5"/>
  <c r="I840" i="5"/>
  <c r="I828" i="5"/>
  <c r="I816" i="5"/>
  <c r="I804" i="5"/>
  <c r="I792" i="5"/>
  <c r="I780" i="5"/>
  <c r="I768" i="5"/>
  <c r="I756" i="5"/>
  <c r="I744" i="5"/>
  <c r="I732" i="5"/>
  <c r="I720" i="5"/>
  <c r="I708" i="5"/>
  <c r="I696" i="5"/>
  <c r="I684" i="5"/>
  <c r="I672" i="5"/>
  <c r="I660" i="5"/>
  <c r="I648" i="5"/>
  <c r="I636" i="5"/>
  <c r="I624" i="5"/>
  <c r="I612" i="5"/>
  <c r="I600" i="5"/>
  <c r="I588" i="5"/>
  <c r="I576" i="5"/>
  <c r="I564" i="5"/>
  <c r="I552" i="5"/>
  <c r="I540" i="5"/>
  <c r="I528" i="5"/>
  <c r="I516" i="5"/>
  <c r="I504" i="5"/>
  <c r="I492" i="5"/>
  <c r="I480" i="5"/>
  <c r="I468" i="5"/>
  <c r="I456" i="5"/>
  <c r="I444" i="5"/>
  <c r="I432" i="5"/>
  <c r="I420" i="5"/>
  <c r="I408" i="5"/>
  <c r="I396" i="5"/>
  <c r="I384" i="5"/>
  <c r="I372" i="5"/>
  <c r="I360" i="5"/>
  <c r="I348" i="5"/>
  <c r="I336" i="5"/>
  <c r="I324" i="5"/>
  <c r="I312" i="5"/>
  <c r="I300" i="5"/>
  <c r="I288" i="5"/>
  <c r="I276" i="5"/>
  <c r="I264" i="5"/>
  <c r="I252" i="5"/>
  <c r="I240" i="5"/>
  <c r="I228" i="5"/>
  <c r="I216" i="5"/>
  <c r="I204" i="5"/>
  <c r="I192" i="5"/>
  <c r="I180" i="5"/>
  <c r="I168" i="5"/>
  <c r="I156" i="5"/>
  <c r="I144" i="5"/>
  <c r="I132" i="5"/>
  <c r="I120" i="5"/>
  <c r="I108" i="5"/>
  <c r="I96" i="5"/>
  <c r="I84" i="5"/>
  <c r="I72" i="5"/>
  <c r="I60" i="5"/>
  <c r="I48" i="5"/>
  <c r="I36" i="5"/>
  <c r="I24" i="5"/>
  <c r="I12" i="5"/>
  <c r="I397" i="5"/>
  <c r="I385" i="5"/>
  <c r="I361" i="5"/>
  <c r="I313" i="5"/>
  <c r="I301" i="5"/>
  <c r="I289" i="5"/>
  <c r="I253" i="5"/>
  <c r="I217" i="5"/>
  <c r="I205" i="5"/>
  <c r="I193" i="5"/>
  <c r="I169" i="5"/>
  <c r="I145" i="5"/>
  <c r="I121" i="5"/>
  <c r="I97" i="5"/>
  <c r="I61" i="5"/>
  <c r="I25" i="5"/>
  <c r="I13" i="5"/>
  <c r="I995" i="5"/>
  <c r="I983" i="5"/>
  <c r="I971" i="5"/>
  <c r="I491" i="5"/>
  <c r="I83" i="5"/>
  <c r="I994" i="5"/>
  <c r="I982" i="5"/>
  <c r="I970" i="5"/>
  <c r="I958" i="5"/>
  <c r="I622" i="5"/>
  <c r="I490" i="5"/>
  <c r="I943" i="5"/>
  <c r="I871" i="5"/>
  <c r="I775" i="5"/>
  <c r="I691" i="5"/>
  <c r="I583" i="5"/>
  <c r="I499" i="5"/>
  <c r="I427" i="5"/>
  <c r="I391" i="5"/>
  <c r="I331" i="5"/>
  <c r="I295" i="5"/>
  <c r="I139" i="5"/>
  <c r="I103" i="5"/>
  <c r="I67" i="5"/>
  <c r="I31" i="5"/>
  <c r="I918" i="5"/>
  <c r="I834" i="5"/>
  <c r="I654" i="5"/>
  <c r="I618" i="5"/>
  <c r="I570" i="5"/>
  <c r="I498" i="5"/>
  <c r="I450" i="5"/>
  <c r="I426" i="5"/>
  <c r="I342" i="5"/>
  <c r="I294" i="5"/>
  <c r="I234" i="5"/>
  <c r="I90" i="5"/>
  <c r="I6" i="5"/>
  <c r="I3" i="5"/>
  <c r="I991" i="5"/>
  <c r="I919" i="5"/>
  <c r="I847" i="5"/>
  <c r="I751" i="5"/>
  <c r="I715" i="5"/>
  <c r="I679" i="5"/>
  <c r="I655" i="5"/>
  <c r="I607" i="5"/>
  <c r="I523" i="5"/>
  <c r="I475" i="5"/>
  <c r="I451" i="5"/>
  <c r="I403" i="5"/>
  <c r="I319" i="5"/>
  <c r="I271" i="5"/>
  <c r="I223" i="5"/>
  <c r="I151" i="5"/>
  <c r="I43" i="5"/>
  <c r="I7" i="5"/>
  <c r="I990" i="5"/>
  <c r="I942" i="5"/>
  <c r="I894" i="5"/>
  <c r="I822" i="5"/>
  <c r="I762" i="5"/>
  <c r="I726" i="5"/>
  <c r="I666" i="5"/>
  <c r="I630" i="5"/>
  <c r="I522" i="5"/>
  <c r="I378" i="5"/>
  <c r="I270" i="5"/>
  <c r="I222" i="5"/>
  <c r="I186" i="5"/>
  <c r="I114" i="5"/>
  <c r="I66" i="5"/>
  <c r="I967" i="5"/>
  <c r="I895" i="5"/>
  <c r="I823" i="5"/>
  <c r="I763" i="5"/>
  <c r="I727" i="5"/>
  <c r="I703" i="5"/>
  <c r="I631" i="5"/>
  <c r="I535" i="5"/>
  <c r="I487" i="5"/>
  <c r="I439" i="5"/>
  <c r="I415" i="5"/>
  <c r="I379" i="5"/>
  <c r="I343" i="5"/>
  <c r="I307" i="5"/>
  <c r="I247" i="5"/>
  <c r="I199" i="5"/>
  <c r="I115" i="5"/>
  <c r="I91" i="5"/>
  <c r="I55" i="5"/>
  <c r="I966" i="5"/>
  <c r="I930" i="5"/>
  <c r="I870" i="5"/>
  <c r="I846" i="5"/>
  <c r="I774" i="5"/>
  <c r="I714" i="5"/>
  <c r="I678" i="5"/>
  <c r="I606" i="5"/>
  <c r="I474" i="5"/>
  <c r="I402" i="5"/>
  <c r="I330" i="5"/>
  <c r="I282" i="5"/>
  <c r="I246" i="5"/>
  <c r="I138" i="5"/>
  <c r="I42" i="5"/>
  <c r="I769" i="5"/>
  <c r="I959" i="5"/>
  <c r="I947" i="5"/>
  <c r="I935" i="5"/>
  <c r="I923" i="5"/>
  <c r="I911" i="5"/>
  <c r="I899" i="5"/>
  <c r="I887" i="5"/>
  <c r="I875" i="5"/>
  <c r="I851" i="5"/>
  <c r="I839" i="5"/>
  <c r="I827" i="5"/>
  <c r="I815" i="5"/>
  <c r="I803" i="5"/>
  <c r="I791" i="5"/>
  <c r="I779" i="5"/>
  <c r="I767" i="5"/>
  <c r="I755" i="5"/>
  <c r="I743" i="5"/>
  <c r="I731" i="5"/>
  <c r="I719" i="5"/>
  <c r="I707" i="5"/>
  <c r="I695" i="5"/>
  <c r="I683" i="5"/>
  <c r="I671" i="5"/>
  <c r="I659" i="5"/>
  <c r="I647" i="5"/>
  <c r="I635" i="5"/>
  <c r="I623" i="5"/>
  <c r="I611" i="5"/>
  <c r="I599" i="5"/>
  <c r="I587" i="5"/>
  <c r="I575" i="5"/>
  <c r="I563" i="5"/>
  <c r="I551" i="5"/>
  <c r="I527" i="5"/>
  <c r="I503" i="5"/>
  <c r="I479" i="5"/>
  <c r="I467" i="5"/>
  <c r="I455" i="5"/>
  <c r="I431" i="5"/>
  <c r="I419" i="5"/>
  <c r="I407" i="5"/>
  <c r="I395" i="5"/>
  <c r="I383" i="5"/>
  <c r="I371" i="5"/>
  <c r="I359" i="5"/>
  <c r="I347" i="5"/>
  <c r="I323" i="5"/>
  <c r="I311" i="5"/>
  <c r="I299" i="5"/>
  <c r="I287" i="5"/>
  <c r="I275" i="5"/>
  <c r="I263" i="5"/>
  <c r="I251" i="5"/>
  <c r="I239" i="5"/>
  <c r="I227" i="5"/>
  <c r="I215" i="5"/>
  <c r="I203" i="5"/>
  <c r="I191" i="5"/>
  <c r="I179" i="5"/>
  <c r="I167" i="5"/>
  <c r="I155" i="5"/>
  <c r="I143" i="5"/>
  <c r="I131" i="5"/>
  <c r="I119" i="5"/>
  <c r="I95" i="5"/>
  <c r="I71" i="5"/>
  <c r="I47" i="5"/>
  <c r="I35" i="5"/>
  <c r="I23" i="5"/>
  <c r="I11" i="5"/>
  <c r="I946" i="5"/>
  <c r="I934" i="5"/>
  <c r="I922" i="5"/>
  <c r="I910" i="5"/>
  <c r="I898" i="5"/>
  <c r="I886" i="5"/>
  <c r="I874" i="5"/>
  <c r="I862" i="5"/>
  <c r="I850" i="5"/>
  <c r="I838" i="5"/>
  <c r="I826" i="5"/>
  <c r="I814" i="5"/>
  <c r="I802" i="5"/>
  <c r="I790" i="5"/>
  <c r="I778" i="5"/>
  <c r="I766" i="5"/>
  <c r="I754" i="5"/>
  <c r="I742" i="5"/>
  <c r="I730" i="5"/>
  <c r="I718" i="5"/>
  <c r="I706" i="5"/>
  <c r="I694" i="5"/>
  <c r="I682" i="5"/>
  <c r="I670" i="5"/>
  <c r="I658" i="5"/>
  <c r="I646" i="5"/>
  <c r="I634" i="5"/>
  <c r="I610" i="5"/>
  <c r="I598" i="5"/>
  <c r="I586" i="5"/>
  <c r="I574" i="5"/>
  <c r="I562" i="5"/>
  <c r="I550" i="5"/>
  <c r="I538" i="5"/>
  <c r="I526" i="5"/>
  <c r="I502" i="5"/>
  <c r="I478" i="5"/>
  <c r="I466" i="5"/>
  <c r="I454" i="5"/>
  <c r="I430" i="5"/>
  <c r="I418" i="5"/>
  <c r="I406" i="5"/>
  <c r="I394" i="5"/>
  <c r="I382" i="5"/>
  <c r="I370" i="5"/>
  <c r="I358" i="5"/>
  <c r="I346" i="5"/>
  <c r="I334" i="5"/>
  <c r="I322" i="5"/>
  <c r="I310" i="5"/>
  <c r="I298" i="5"/>
  <c r="I286" i="5"/>
  <c r="I274" i="5"/>
  <c r="I262" i="5"/>
  <c r="I250" i="5"/>
  <c r="I238" i="5"/>
  <c r="I226" i="5"/>
  <c r="I214" i="5"/>
  <c r="I202" i="5"/>
  <c r="I190" i="5"/>
  <c r="I178" i="5"/>
  <c r="I166" i="5"/>
  <c r="I154" i="5"/>
  <c r="I142" i="5"/>
  <c r="I130" i="5"/>
  <c r="I118" i="5"/>
  <c r="I106" i="5"/>
  <c r="I94" i="5"/>
  <c r="I70" i="5"/>
  <c r="I46" i="5"/>
  <c r="I22" i="5"/>
  <c r="I10" i="5"/>
  <c r="I861" i="5"/>
  <c r="I765" i="5"/>
  <c r="I717" i="5"/>
  <c r="I573" i="5"/>
  <c r="I417" i="5"/>
  <c r="I333" i="5"/>
  <c r="I177" i="5"/>
  <c r="I69" i="5"/>
  <c r="I21" i="5"/>
  <c r="I281" i="5"/>
  <c r="I269" i="5"/>
  <c r="I245" i="5"/>
  <c r="I233" i="5"/>
  <c r="I221" i="5"/>
  <c r="I197" i="5"/>
  <c r="I185" i="5"/>
  <c r="I173" i="5"/>
  <c r="I161" i="5"/>
  <c r="I137" i="5"/>
  <c r="I125" i="5"/>
  <c r="I113" i="5"/>
  <c r="I89" i="5"/>
  <c r="I77" i="5"/>
  <c r="I65" i="5"/>
  <c r="I53" i="5"/>
  <c r="I41" i="5"/>
  <c r="I29" i="5"/>
  <c r="I17" i="5"/>
  <c r="I5" i="5"/>
  <c r="I981" i="5"/>
  <c r="I969" i="5"/>
  <c r="I921" i="5"/>
  <c r="I909" i="5"/>
  <c r="I897" i="5"/>
  <c r="I873" i="5"/>
  <c r="I849" i="5"/>
  <c r="I825" i="5"/>
  <c r="I813" i="5"/>
  <c r="I801" i="5"/>
  <c r="I777" i="5"/>
  <c r="I753" i="5"/>
  <c r="I729" i="5"/>
  <c r="I705" i="5"/>
  <c r="I681" i="5"/>
  <c r="I657" i="5"/>
  <c r="I633" i="5"/>
  <c r="I609" i="5"/>
  <c r="I597" i="5"/>
  <c r="I585" i="5"/>
  <c r="I549" i="5"/>
  <c r="I537" i="5"/>
  <c r="I525" i="5"/>
  <c r="I501" i="5"/>
  <c r="I489" i="5"/>
  <c r="I477" i="5"/>
  <c r="I441" i="5"/>
  <c r="I429" i="5"/>
  <c r="I393" i="5"/>
  <c r="I369" i="5"/>
  <c r="I345" i="5"/>
  <c r="I321" i="5"/>
  <c r="I297" i="5"/>
  <c r="I273" i="5"/>
  <c r="I249" i="5"/>
  <c r="I225" i="5"/>
  <c r="I213" i="5"/>
  <c r="I201" i="5"/>
  <c r="I165" i="5"/>
  <c r="I153" i="5"/>
  <c r="I141" i="5"/>
  <c r="I117" i="5"/>
  <c r="I105" i="5"/>
  <c r="I93" i="5"/>
  <c r="I57" i="5"/>
  <c r="I45" i="5"/>
  <c r="I9" i="5"/>
  <c r="I968" i="5"/>
  <c r="I920" i="5"/>
  <c r="I896" i="5"/>
  <c r="I872" i="5"/>
  <c r="I848" i="5"/>
  <c r="I824" i="5"/>
  <c r="I800" i="5"/>
  <c r="I776" i="5"/>
  <c r="I752" i="5"/>
  <c r="I728" i="5"/>
  <c r="I716" i="5"/>
  <c r="I704" i="5"/>
  <c r="I692" i="5"/>
  <c r="I680" i="5"/>
  <c r="I656" i="5"/>
  <c r="I632" i="5"/>
  <c r="I608" i="5"/>
  <c r="I584" i="5"/>
  <c r="I548" i="5"/>
  <c r="I536" i="5"/>
  <c r="I524" i="5"/>
  <c r="I500" i="5"/>
  <c r="I488" i="5"/>
  <c r="I476" i="5"/>
  <c r="I440" i="5"/>
  <c r="I428" i="5"/>
  <c r="I416" i="5"/>
  <c r="I392" i="5"/>
  <c r="I368" i="5"/>
  <c r="I344" i="5"/>
  <c r="I332" i="5"/>
  <c r="I320" i="5"/>
  <c r="I308" i="5"/>
  <c r="I296" i="5"/>
  <c r="I272" i="5"/>
  <c r="I248" i="5"/>
  <c r="I224" i="5"/>
  <c r="I200" i="5"/>
  <c r="I164" i="5"/>
  <c r="I152" i="5"/>
  <c r="I140" i="5"/>
  <c r="I116" i="5"/>
  <c r="I104" i="5"/>
  <c r="I92" i="5"/>
  <c r="I56" i="5"/>
  <c r="I44" i="5"/>
  <c r="I32" i="5"/>
  <c r="I8" i="5"/>
  <c r="I976" i="5"/>
  <c r="I952" i="5"/>
  <c r="I928" i="5"/>
  <c r="I904" i="5"/>
  <c r="I880" i="5"/>
  <c r="I856" i="5"/>
  <c r="I832" i="5"/>
  <c r="I808" i="5"/>
  <c r="I784" i="5"/>
  <c r="I760" i="5"/>
  <c r="I736" i="5"/>
  <c r="I724" i="5"/>
  <c r="I712" i="5"/>
  <c r="I700" i="5"/>
  <c r="I676" i="5"/>
  <c r="I652" i="5"/>
  <c r="I628" i="5"/>
  <c r="I604" i="5"/>
  <c r="I580" i="5"/>
  <c r="I556" i="5"/>
  <c r="I532" i="5"/>
  <c r="I508" i="5"/>
  <c r="I484" i="5"/>
  <c r="I460" i="5"/>
  <c r="I436" i="5"/>
  <c r="I400" i="5"/>
  <c r="I376" i="5"/>
  <c r="I352" i="5"/>
  <c r="I328" i="5"/>
  <c r="I304" i="5"/>
  <c r="I292" i="5"/>
  <c r="I268" i="5"/>
  <c r="I244" i="5"/>
  <c r="I220" i="5"/>
  <c r="I196" i="5"/>
  <c r="I172" i="5"/>
  <c r="I136" i="5"/>
  <c r="I112" i="5"/>
  <c r="I76" i="5"/>
  <c r="I52" i="5"/>
  <c r="I28" i="5"/>
  <c r="I999" i="5"/>
  <c r="I987" i="5"/>
  <c r="I975" i="5"/>
  <c r="I963" i="5"/>
  <c r="I951" i="5"/>
  <c r="I939" i="5"/>
  <c r="I927" i="5"/>
  <c r="I915" i="5"/>
  <c r="I903" i="5"/>
  <c r="I891" i="5"/>
  <c r="I879" i="5"/>
  <c r="I867" i="5"/>
  <c r="I855" i="5"/>
  <c r="I843" i="5"/>
  <c r="I831" i="5"/>
  <c r="I819" i="5"/>
  <c r="I807" i="5"/>
  <c r="I795" i="5"/>
  <c r="I783" i="5"/>
  <c r="I771" i="5"/>
  <c r="I759" i="5"/>
  <c r="I735" i="5"/>
  <c r="I711" i="5"/>
  <c r="I687" i="5"/>
  <c r="I651" i="5"/>
  <c r="I627" i="5"/>
  <c r="I591" i="5"/>
  <c r="I567" i="5"/>
  <c r="I543" i="5"/>
  <c r="I519" i="5"/>
  <c r="I495" i="5"/>
  <c r="I471" i="5"/>
  <c r="I435" i="5"/>
  <c r="I411" i="5"/>
  <c r="I387" i="5"/>
  <c r="I363" i="5"/>
  <c r="I339" i="5"/>
  <c r="I315" i="5"/>
  <c r="I291" i="5"/>
  <c r="I267" i="5"/>
  <c r="I243" i="5"/>
  <c r="I219" i="5"/>
  <c r="I195" i="5"/>
  <c r="I171" i="5"/>
  <c r="I135" i="5"/>
  <c r="I111" i="5"/>
  <c r="I87" i="5"/>
  <c r="I51" i="5"/>
  <c r="I39" i="5"/>
  <c r="I998" i="5"/>
  <c r="I974" i="5"/>
  <c r="I950" i="5"/>
  <c r="I926" i="5"/>
  <c r="I902" i="5"/>
  <c r="I878" i="5"/>
  <c r="I842" i="5"/>
  <c r="I806" i="5"/>
  <c r="I662" i="5"/>
  <c r="I1000" i="5"/>
  <c r="I988" i="5"/>
  <c r="I964" i="5"/>
  <c r="I940" i="5"/>
  <c r="I916" i="5"/>
  <c r="I892" i="5"/>
  <c r="I868" i="5"/>
  <c r="I844" i="5"/>
  <c r="I820" i="5"/>
  <c r="I796" i="5"/>
  <c r="I772" i="5"/>
  <c r="I748" i="5"/>
  <c r="I688" i="5"/>
  <c r="I664" i="5"/>
  <c r="I640" i="5"/>
  <c r="I616" i="5"/>
  <c r="I592" i="5"/>
  <c r="I568" i="5"/>
  <c r="I544" i="5"/>
  <c r="I520" i="5"/>
  <c r="I496" i="5"/>
  <c r="I472" i="5"/>
  <c r="I448" i="5"/>
  <c r="I424" i="5"/>
  <c r="I412" i="5"/>
  <c r="I388" i="5"/>
  <c r="I364" i="5"/>
  <c r="I340" i="5"/>
  <c r="I316" i="5"/>
  <c r="I280" i="5"/>
  <c r="I256" i="5"/>
  <c r="I232" i="5"/>
  <c r="I208" i="5"/>
  <c r="I184" i="5"/>
  <c r="I160" i="5"/>
  <c r="I148" i="5"/>
  <c r="I124" i="5"/>
  <c r="I100" i="5"/>
  <c r="I88" i="5"/>
  <c r="I64" i="5"/>
  <c r="I40" i="5"/>
  <c r="I16" i="5"/>
  <c r="I747" i="5"/>
  <c r="I723" i="5"/>
  <c r="I699" i="5"/>
  <c r="I675" i="5"/>
  <c r="I663" i="5"/>
  <c r="I639" i="5"/>
  <c r="I615" i="5"/>
  <c r="I603" i="5"/>
  <c r="I579" i="5"/>
  <c r="I555" i="5"/>
  <c r="I531" i="5"/>
  <c r="I507" i="5"/>
  <c r="I483" i="5"/>
  <c r="I459" i="5"/>
  <c r="I447" i="5"/>
  <c r="I423" i="5"/>
  <c r="I399" i="5"/>
  <c r="I375" i="5"/>
  <c r="I351" i="5"/>
  <c r="I327" i="5"/>
  <c r="I303" i="5"/>
  <c r="I279" i="5"/>
  <c r="I255" i="5"/>
  <c r="I231" i="5"/>
  <c r="I207" i="5"/>
  <c r="I183" i="5"/>
  <c r="I159" i="5"/>
  <c r="I147" i="5"/>
  <c r="I123" i="5"/>
  <c r="I99" i="5"/>
  <c r="I75" i="5"/>
  <c r="I63" i="5"/>
  <c r="I27" i="5"/>
  <c r="I15" i="5"/>
  <c r="I986" i="5"/>
  <c r="I962" i="5"/>
  <c r="I938" i="5"/>
  <c r="I914" i="5"/>
  <c r="I890" i="5"/>
  <c r="I866" i="5"/>
  <c r="I854" i="5"/>
  <c r="I830" i="5"/>
  <c r="I818" i="5"/>
  <c r="I794" i="5"/>
  <c r="I782" i="5"/>
  <c r="I770" i="5"/>
  <c r="I758" i="5"/>
  <c r="I746" i="5"/>
  <c r="I734" i="5"/>
  <c r="I722" i="5"/>
  <c r="I710" i="5"/>
  <c r="I698" i="5"/>
  <c r="I686" i="5"/>
  <c r="I674" i="5"/>
  <c r="I650" i="5"/>
  <c r="I638" i="5"/>
  <c r="I985" i="5"/>
  <c r="I889" i="5"/>
  <c r="I793" i="5"/>
  <c r="I733" i="5"/>
  <c r="I649" i="5"/>
  <c r="I625" i="5"/>
  <c r="I541" i="5"/>
  <c r="I457" i="5"/>
  <c r="I433" i="5"/>
  <c r="I349" i="5"/>
  <c r="I265" i="5"/>
  <c r="I241" i="5"/>
  <c r="I157" i="5"/>
  <c r="I73" i="5"/>
  <c r="I49" i="5"/>
  <c r="I626" i="5"/>
  <c r="I614" i="5"/>
  <c r="I602" i="5"/>
  <c r="I590" i="5"/>
  <c r="I578" i="5"/>
  <c r="I566" i="5"/>
  <c r="I554" i="5"/>
  <c r="I542" i="5"/>
  <c r="I530" i="5"/>
  <c r="I518" i="5"/>
  <c r="I506" i="5"/>
  <c r="I494" i="5"/>
  <c r="I482" i="5"/>
  <c r="I470" i="5"/>
  <c r="I458" i="5"/>
  <c r="I446" i="5"/>
  <c r="I434" i="5"/>
  <c r="I422" i="5"/>
  <c r="I410" i="5"/>
  <c r="I398" i="5"/>
  <c r="I386" i="5"/>
  <c r="I374" i="5"/>
  <c r="I362" i="5"/>
  <c r="I350" i="5"/>
  <c r="I338" i="5"/>
  <c r="I326" i="5"/>
  <c r="I314" i="5"/>
  <c r="I302" i="5"/>
  <c r="I290" i="5"/>
  <c r="I278" i="5"/>
  <c r="I266" i="5"/>
  <c r="I254" i="5"/>
  <c r="I242" i="5"/>
  <c r="I230" i="5"/>
  <c r="I218" i="5"/>
  <c r="I206" i="5"/>
  <c r="I194" i="5"/>
  <c r="I182" i="5"/>
  <c r="I170" i="5"/>
  <c r="I158" i="5"/>
  <c r="I146" i="5"/>
  <c r="I134" i="5"/>
  <c r="I122" i="5"/>
  <c r="I110" i="5"/>
  <c r="I98" i="5"/>
  <c r="I86" i="5"/>
  <c r="I74" i="5"/>
  <c r="I62" i="5"/>
  <c r="I50" i="5"/>
  <c r="I38" i="5"/>
  <c r="I26" i="5"/>
  <c r="I14" i="5"/>
  <c r="I997" i="5"/>
  <c r="I949" i="5"/>
  <c r="I901" i="5"/>
  <c r="I853" i="5"/>
  <c r="I805" i="5"/>
  <c r="I757" i="5"/>
  <c r="I709" i="5"/>
  <c r="I661" i="5"/>
  <c r="I613" i="5"/>
  <c r="I565" i="5"/>
  <c r="I517" i="5"/>
  <c r="I469" i="5"/>
  <c r="I421" i="5"/>
  <c r="I373" i="5"/>
  <c r="I325" i="5"/>
  <c r="I277" i="5"/>
  <c r="I229" i="5"/>
  <c r="I181" i="5"/>
  <c r="I133" i="5"/>
  <c r="I85" i="5"/>
  <c r="I3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<sst xmlns="http://schemas.openxmlformats.org/spreadsheetml/2006/main" count="627" uniqueCount="467">
  <si>
    <t>Product ID</t>
  </si>
  <si>
    <t>Product Name</t>
  </si>
  <si>
    <t>Category</t>
  </si>
  <si>
    <t>Cost Price</t>
  </si>
  <si>
    <t>Selling 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</si>
  <si>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</si>
  <si>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</si>
  <si>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</si>
  <si>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</si>
  <si>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</si>
  <si>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</si>
  <si>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</si>
  <si>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</si>
  <si>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</si>
  <si>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</si>
  <si>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</si>
  <si>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</si>
  <si>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</si>
  <si>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</si>
  <si>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</si>
  <si>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</si>
  <si>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</si>
  <si>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</si>
  <si>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</si>
  <si>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</si>
  <si>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</si>
  <si>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</si>
  <si>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</si>
  <si>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</si>
  <si>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</si>
  <si>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</si>
  <si>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</si>
  <si>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</si>
  <si>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</si>
  <si>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</si>
  <si>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</si>
  <si>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</si>
  <si>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</si>
  <si>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</si>
  <si>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</si>
  <si>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</si>
  <si>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</si>
  <si>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</si>
  <si>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</si>
  <si>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</si>
  <si>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</si>
  <si>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</si>
  <si>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</si>
  <si>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</si>
  <si>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</si>
  <si>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</si>
  <si>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</si>
  <si>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</si>
  <si>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</si>
  <si>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</si>
  <si>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Laptop</t>
  </si>
  <si>
    <t>Mouse</t>
  </si>
  <si>
    <t>Keyboard</t>
  </si>
  <si>
    <t>Monitor</t>
  </si>
  <si>
    <t>Printer</t>
  </si>
  <si>
    <t>Office Chair</t>
  </si>
  <si>
    <t>Study Table</t>
  </si>
  <si>
    <t>Bookshelf</t>
  </si>
  <si>
    <t>Sofa</t>
  </si>
  <si>
    <t>Water Bottle</t>
  </si>
  <si>
    <t>Electronics</t>
  </si>
  <si>
    <t>Furniture</t>
  </si>
  <si>
    <t>Accessories</t>
  </si>
  <si>
    <t>Backpack</t>
  </si>
  <si>
    <t>Notebook</t>
  </si>
  <si>
    <t>Pen</t>
  </si>
  <si>
    <t>Whiteboard</t>
  </si>
  <si>
    <t>Headphones</t>
  </si>
  <si>
    <t>Webcam</t>
  </si>
  <si>
    <t>USB Drive</t>
  </si>
  <si>
    <t>Power Bank</t>
  </si>
  <si>
    <t>Desk Lamp</t>
  </si>
  <si>
    <t>Calculator</t>
  </si>
  <si>
    <t>Tablet</t>
  </si>
  <si>
    <t>Smart Watch</t>
  </si>
  <si>
    <t>Bluetooth Speaker</t>
  </si>
  <si>
    <t>Earbuds</t>
  </si>
  <si>
    <t>Router</t>
  </si>
  <si>
    <t>Extension Board</t>
  </si>
  <si>
    <t>Coffee Table</t>
  </si>
  <si>
    <t>Wardrobe</t>
  </si>
  <si>
    <t>Bean Bag</t>
  </si>
  <si>
    <t>TV Stand</t>
  </si>
  <si>
    <t>File Folder</t>
  </si>
  <si>
    <t>Stapler</t>
  </si>
  <si>
    <t>Marker Set</t>
  </si>
  <si>
    <t>Sticky Notes</t>
  </si>
  <si>
    <t>Diary</t>
  </si>
  <si>
    <t>Lunch Box</t>
  </si>
  <si>
    <t>Travel Mug</t>
  </si>
  <si>
    <t>Laptop Bag</t>
  </si>
  <si>
    <t>Phone Stand</t>
  </si>
  <si>
    <t>Mouse Pad</t>
  </si>
  <si>
    <t>Air Conditioner</t>
  </si>
  <si>
    <t>Refrigerator</t>
  </si>
  <si>
    <t>Washing Machine</t>
  </si>
  <si>
    <t>Microwave Oven</t>
  </si>
  <si>
    <t>Electric Kettle</t>
  </si>
  <si>
    <t>Ceiling Fan</t>
  </si>
  <si>
    <t>Vacuum Cleaner</t>
  </si>
  <si>
    <t>Iron Box</t>
  </si>
  <si>
    <t>Mixer Grinder</t>
  </si>
  <si>
    <t>Water Purifier</t>
  </si>
  <si>
    <t>Home Appliances</t>
  </si>
  <si>
    <t>Stationery</t>
  </si>
  <si>
    <t>Customer Name</t>
  </si>
  <si>
    <t>Gender</t>
  </si>
  <si>
    <t>Age</t>
  </si>
  <si>
    <t>City</t>
  </si>
  <si>
    <t>State</t>
  </si>
  <si>
    <t>Customer Type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</si>
  <si>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</si>
  <si>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</si>
  <si>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</si>
  <si>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</si>
  <si>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</si>
  <si>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</si>
  <si>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</si>
  <si>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</si>
  <si>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</si>
  <si>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</si>
  <si>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</si>
  <si>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</si>
  <si>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</si>
  <si>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</si>
  <si>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</si>
  <si>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</si>
  <si>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</si>
  <si>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</si>
  <si>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</si>
  <si>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</si>
  <si>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Aarav Sharma</t>
  </si>
  <si>
    <t>Priya Nair</t>
  </si>
  <si>
    <t>Rahul Verma</t>
  </si>
  <si>
    <t>Sneha Reddy</t>
  </si>
  <si>
    <t>Arjun Patel</t>
  </si>
  <si>
    <t>Meera Iyer</t>
  </si>
  <si>
    <t>Vikram Singh</t>
  </si>
  <si>
    <t>Ananya Das</t>
  </si>
  <si>
    <t>Karan Mehta</t>
  </si>
  <si>
    <t>Divya Kumar</t>
  </si>
  <si>
    <t>Rohan Gupta</t>
  </si>
  <si>
    <t>Pooja Joshi</t>
  </si>
  <si>
    <t>Suresh Rao</t>
  </si>
  <si>
    <t>Neha Kapoor</t>
  </si>
  <si>
    <t>Aditya Menon</t>
  </si>
  <si>
    <t>Kavya Srinivas</t>
  </si>
  <si>
    <t>Nitin Malhotra</t>
  </si>
  <si>
    <t>Aisha Khan</t>
  </si>
  <si>
    <t>Manish Yadav</t>
  </si>
  <si>
    <t>Shreya Ghosh</t>
  </si>
  <si>
    <t>Male</t>
  </si>
  <si>
    <t>Female</t>
  </si>
  <si>
    <t>Mumbai</t>
  </si>
  <si>
    <t>Chennai</t>
  </si>
  <si>
    <t>Bengaluru</t>
  </si>
  <si>
    <t>Hyderabad</t>
  </si>
  <si>
    <t>Ahmedabad</t>
  </si>
  <si>
    <t>Kochi</t>
  </si>
  <si>
    <t>Jaipur</t>
  </si>
  <si>
    <t>Kolkata</t>
  </si>
  <si>
    <t>Pune</t>
  </si>
  <si>
    <t>Delhi</t>
  </si>
  <si>
    <t>Lucknow</t>
  </si>
  <si>
    <t>Indore</t>
  </si>
  <si>
    <t>Visakhapatnam</t>
  </si>
  <si>
    <t>Chandigarh</t>
  </si>
  <si>
    <t>Thiruvananthapuram</t>
  </si>
  <si>
    <t>Mysuru</t>
  </si>
  <si>
    <t>Noida</t>
  </si>
  <si>
    <t>Bhopal</t>
  </si>
  <si>
    <t>Patna</t>
  </si>
  <si>
    <t>Bhubaneswar</t>
  </si>
  <si>
    <t>Maharashtra</t>
  </si>
  <si>
    <t>Tamil Nadu</t>
  </si>
  <si>
    <t>Karnataka</t>
  </si>
  <si>
    <t>Telangana</t>
  </si>
  <si>
    <t>Gujarat</t>
  </si>
  <si>
    <t>Kerala</t>
  </si>
  <si>
    <t>Rajasthan</t>
  </si>
  <si>
    <t>West Bengal</t>
  </si>
  <si>
    <t>Uttar Pradesh</t>
  </si>
  <si>
    <t>Madhya Pradesh</t>
  </si>
  <si>
    <t>Andhra Pradesh</t>
  </si>
  <si>
    <t>Bihar</t>
  </si>
  <si>
    <t>Odisha</t>
  </si>
  <si>
    <t>Premium</t>
  </si>
  <si>
    <t>Regular</t>
  </si>
  <si>
    <t>VIP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</si>
  <si>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</si>
  <si>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</si>
  <si>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</si>
  <si>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</si>
  <si>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</si>
  <si>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</si>
  <si>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</si>
  <si>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</si>
  <si>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</si>
  <si>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</si>
  <si>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</si>
  <si>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</si>
  <si>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</si>
  <si>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</si>
  <si>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</si>
  <si>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</si>
  <si>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</si>
  <si>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</si>
  <si>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</si>
  <si>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</si>
  <si>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</si>
  <si>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</si>
  <si>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</si>
  <si>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</si>
  <si>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</si>
  <si>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</si>
  <si>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</si>
  <si>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</si>
  <si>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</si>
  <si>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</si>
  <si>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</si>
  <si>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</si>
  <si>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</si>
  <si>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</si>
  <si>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</si>
  <si>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</si>
  <si>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</si>
  <si>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</si>
  <si>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</si>
  <si>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</si>
  <si>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</si>
  <si>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</si>
  <si>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</si>
  <si>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</si>
  <si>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</si>
  <si>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</si>
  <si>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</si>
  <si>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</si>
  <si>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</si>
  <si>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</si>
  <si>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</si>
  <si>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</si>
  <si>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</si>
  <si>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</si>
  <si>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</si>
  <si>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</si>
  <si>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</si>
  <si>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</si>
  <si>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</si>
  <si>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</si>
  <si>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</si>
  <si>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</si>
  <si>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</si>
  <si>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</si>
  <si>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</si>
  <si>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</si>
  <si>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</si>
  <si>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</si>
  <si>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</si>
  <si>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</si>
  <si>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</si>
  <si>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</si>
  <si>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</si>
  <si>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</si>
  <si>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</si>
  <si>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</si>
  <si>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</si>
  <si>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</si>
  <si>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</si>
  <si>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</si>
  <si>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</si>
  <si>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</si>
  <si>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</si>
  <si>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</si>
  <si>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</si>
  <si>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</si>
  <si>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</si>
  <si>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</si>
  <si>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</si>
  <si>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</si>
  <si>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</si>
  <si>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</si>
  <si>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</si>
  <si>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</si>
  <si>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</si>
  <si>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</si>
  <si>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</si>
  <si>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</si>
  <si>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</si>
  <si>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</si>
  <si>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</si>
  <si>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</si>
  <si>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</si>
  <si>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</si>
  <si>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</si>
  <si>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</si>
  <si>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</si>
  <si>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</si>
  <si>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</si>
  <si>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</si>
  <si>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</si>
  <si>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</si>
  <si>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</si>
  <si>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</si>
  <si>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</si>
  <si>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</si>
  <si>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</si>
  <si>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</si>
  <si>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</si>
  <si>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</si>
  <si>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</si>
  <si>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</si>
  <si>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</si>
  <si>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</si>
  <si>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</si>
  <si>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</si>
  <si>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</si>
  <si>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</si>
  <si>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</si>
  <si>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</si>
  <si>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</si>
  <si>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</si>
  <si>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</si>
  <si>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</si>
  <si>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</si>
  <si>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</si>
  <si>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</si>
  <si>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</si>
  <si>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</si>
  <si>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</si>
  <si>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</si>
  <si>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</si>
  <si>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</si>
  <si>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</si>
  <si>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</si>
  <si>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</si>
  <si>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</si>
  <si>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</si>
  <si>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</si>
  <si>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</si>
  <si>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</si>
  <si>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</si>
  <si>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</si>
  <si>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</si>
  <si>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</si>
  <si>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</si>
  <si>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</si>
  <si>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</si>
  <si>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</si>
  <si>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</si>
  <si>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</si>
  <si>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</si>
  <si>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</si>
  <si>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</si>
  <si>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</si>
  <si>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</si>
  <si>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</si>
  <si>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</si>
  <si>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</si>
  <si>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</si>
  <si>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</si>
  <si>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</si>
  <si>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</si>
  <si>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</si>
  <si>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</si>
  <si>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</si>
  <si>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</si>
  <si>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</si>
  <si>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</si>
  <si>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</si>
  <si>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Aarav</t>
  </si>
  <si>
    <t>Arjun</t>
  </si>
  <si>
    <t>Rahul</t>
  </si>
  <si>
    <t>Karthik</t>
  </si>
  <si>
    <t>Vikram</t>
  </si>
  <si>
    <t>Rohan</t>
  </si>
  <si>
    <t>Aditya</t>
  </si>
  <si>
    <t>Suresh</t>
  </si>
  <si>
    <t>Nitin</t>
  </si>
  <si>
    <t>Manish</t>
  </si>
  <si>
    <t>Priya</t>
  </si>
  <si>
    <t>Ananya</t>
  </si>
  <si>
    <t>Sneha</t>
  </si>
  <si>
    <t>Divya</t>
  </si>
  <si>
    <t>Meera</t>
  </si>
  <si>
    <t>Kavya</t>
  </si>
  <si>
    <t>Pooja</t>
  </si>
  <si>
    <t>Neha</t>
  </si>
  <si>
    <t>Shreya</t>
  </si>
  <si>
    <t>Aisha</t>
  </si>
  <si>
    <t>Anjali</t>
  </si>
  <si>
    <t>Deepika</t>
  </si>
  <si>
    <t>Nandhini</t>
  </si>
  <si>
    <t>Harini</t>
  </si>
  <si>
    <t>Keerthana</t>
  </si>
  <si>
    <t>Abinaya</t>
  </si>
  <si>
    <t>Lakshmi</t>
  </si>
  <si>
    <t>Varun</t>
  </si>
  <si>
    <t>Surya</t>
  </si>
  <si>
    <t>Akash</t>
  </si>
  <si>
    <t>Last Name</t>
  </si>
  <si>
    <t>Sharma</t>
  </si>
  <si>
    <t>Kumar</t>
  </si>
  <si>
    <t>Singh</t>
  </si>
  <si>
    <t>Verma</t>
  </si>
  <si>
    <t>Patel</t>
  </si>
  <si>
    <t>Reddy</t>
  </si>
  <si>
    <t>Nair</t>
  </si>
  <si>
    <t>Iyer</t>
  </si>
  <si>
    <t>Menon</t>
  </si>
  <si>
    <t>Gupta</t>
  </si>
  <si>
    <t>Joshi</t>
  </si>
  <si>
    <t>Das</t>
  </si>
  <si>
    <t>Kapoor</t>
  </si>
  <si>
    <t>Malhotra</t>
  </si>
  <si>
    <t>Yadav</t>
  </si>
  <si>
    <t>Mehta</t>
  </si>
  <si>
    <t>Rao</t>
  </si>
  <si>
    <t>Srinivas</t>
  </si>
  <si>
    <t>Ghosh</t>
  </si>
  <si>
    <t>Khan</t>
  </si>
  <si>
    <t>First Name</t>
  </si>
  <si>
    <t>Supplier ID</t>
  </si>
  <si>
    <t>Supplier Name</t>
  </si>
  <si>
    <t>Tech Distributors</t>
  </si>
  <si>
    <t>Elite Electronics</t>
  </si>
  <si>
    <t>Global Traders</t>
  </si>
  <si>
    <t>Smart Supplies</t>
  </si>
  <si>
    <t>Vision Enterprises</t>
  </si>
  <si>
    <t>Prime Distributors</t>
  </si>
  <si>
    <t>Future Retail Supply</t>
  </si>
  <si>
    <t>Alpha Wholesale</t>
  </si>
  <si>
    <t>Bright Suppliers</t>
  </si>
  <si>
    <t>NexGen Traders</t>
  </si>
  <si>
    <t>Star Distribution</t>
  </si>
  <si>
    <t>Apex Suppliers</t>
  </si>
  <si>
    <t>Nova Enterprises</t>
  </si>
  <si>
    <t>Infinity Traders</t>
  </si>
  <si>
    <t>Vertex Supply</t>
  </si>
  <si>
    <t>Warehouse ID</t>
  </si>
  <si>
    <t>Warehouse Name</t>
  </si>
  <si>
    <t>Capacity</t>
  </si>
  <si>
    <t>Chennai Warehouse</t>
  </si>
  <si>
    <t>Bengaluru Warehouse</t>
  </si>
  <si>
    <t>Hyderabad Warehouse</t>
  </si>
  <si>
    <t>Mumbai Warehouse</t>
  </si>
  <si>
    <t>Pune Warehouse</t>
  </si>
  <si>
    <t>Kochi Warehouse</t>
  </si>
  <si>
    <t>Ahmedabad Warehouse</t>
  </si>
  <si>
    <t>Kolkata Warehouse</t>
  </si>
  <si>
    <t>Order ID</t>
  </si>
  <si>
    <t>Order Date</t>
  </si>
  <si>
    <t>Customer ID</t>
  </si>
  <si>
    <t>Unit Price</t>
  </si>
  <si>
    <t>Discount%</t>
  </si>
  <si>
    <t>Sales Amount</t>
  </si>
  <si>
    <t>Payment Method</t>
  </si>
  <si>
    <t>Quantity</t>
  </si>
  <si>
    <t>Cash</t>
  </si>
  <si>
    <t>UPI</t>
  </si>
  <si>
    <t>Credit Card</t>
  </si>
  <si>
    <t>Debit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</si>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</sst>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28">
    <dxf>
      <numFmt numFmtId="13" formatCode="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DE0CE-EA82-45C5-9C2D-D7F682F598DC}" name="Products" displayName="Products" ref="A1:E51" totalsRowShown="0">
  <autoFilter ref="A1:E51" xr:uid="{38FDE0CE-EA82-45C5-9C2D-D7F682F598DC}"/>
  <tableColumns count="5">
    <tableColumn id="1" xr3:uid="{BA768EE9-FF83-49F3-B75A-17CD428F6843}" name="Product ID"/>
    <tableColumn id="2" xr3:uid="{F454AB78-2EAF-4B5E-A4F7-4D194D0B210B}" name="Product Name"/>
    <tableColumn id="3" xr3:uid="{4C4CD141-5C9E-4381-9163-DEDF203868DB}" name="Category"/>
    <tableColumn id="4" xr3:uid="{FC4E9752-B1FB-4B81-855D-BE8DC1EF1588}" name="Cost Price" dataDxfId="27"/>
    <tableColumn id="5" xr3:uid="{4D87F963-F3D3-448D-9743-BC65A687D68D}" name="Selling Price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293E8-131C-401D-BBA9-9E6A87781773}" name="Customers" displayName="Customers" ref="A1:G202" totalsRowCount="1">
  <autoFilter ref="A1:G201" xr:uid="{BB3293E8-131C-401D-BBA9-9E6A87781773}"/>
  <tableColumns count="7">
    <tableColumn id="1" xr3:uid="{3791F565-5C31-4D3C-8EFB-3D8FA1D034E0}" name="Customer ID"/>
    <tableColumn id="2" xr3:uid="{B6D46B1A-8B7E-47ED-AF28-0D58F866A557}" name="Customer Name"/>
    <tableColumn id="3" xr3:uid="{4BD6A6C6-0AC0-44DF-88C2-6A80A3D87970}" name="Gender"/>
    <tableColumn id="4" xr3:uid="{2EDF7E43-4FFD-4057-821B-CDD32A71FC13}" name="Age"/>
    <tableColumn id="5" xr3:uid="{E24AA649-7296-4F31-8DC0-16F5F1936317}" name="City"/>
    <tableColumn id="6" xr3:uid="{C5D3C318-C1D0-4FC4-8BD4-BF6B40BF60B0}" name="State"/>
    <tableColumn id="7" xr3:uid="{03A0D59B-C719-4304-8959-73E59FA0A18A}" name="Customer Type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DEAD0B-4231-4DB2-BF72-98D6DA561CC0}" name="FirstNames" displayName="FirstNames" ref="A1:B31" totalsRowShown="0" headerRowDxfId="25" dataDxfId="24">
  <autoFilter ref="A1:B31" xr:uid="{EEDEAD0B-4231-4DB2-BF72-98D6DA561CC0}"/>
  <tableColumns count="2">
    <tableColumn id="1" xr3:uid="{6BE64B0B-2E33-4249-ABC3-492C34E962C3}" name="First Name" dataDxfId="23"/>
    <tableColumn id="2" xr3:uid="{4706CAB6-0F1A-4B6B-8E81-57F400489B8E}" name="Gender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B146C0-9808-464C-ACB4-34A896395F8B}" name="LastNames" displayName="LastNames" ref="A1:A21" totalsRowShown="0" headerRowDxfId="21" dataDxfId="20">
  <autoFilter ref="A1:A21" xr:uid="{80B146C0-9808-464C-ACB4-34A896395F8B}"/>
  <tableColumns count="1">
    <tableColumn id="1" xr3:uid="{E4CA1375-2D9E-4336-99A1-39E3C822D1BA}" name="Last Name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7AE7C1-25E2-4170-96BE-1873B72F0A45}" name="Cities" displayName="Cities" ref="A1:C11" totalsRowShown="0" headerRowDxfId="18" dataDxfId="17">
  <autoFilter ref="A1:C11" xr:uid="{457AE7C1-25E2-4170-96BE-1873B72F0A45}"/>
  <tableColumns count="3">
    <tableColumn id="1" xr3:uid="{E3CBBF1A-D6E2-45A2-BEB1-16918F9BF802}" name="City" dataDxfId="16"/>
    <tableColumn id="2" xr3:uid="{A3D53622-0419-4DA4-AE45-9D9BC4AB846F}" name="State" dataDxfId="15"/>
    <tableColumn id="3" xr3:uid="{4E527869-717D-4C9B-9253-59F61BD50A35}" name="Customer Type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B6EF4A-BA77-428F-A770-A99D2E31BFDD}" name="Suppliers" displayName="Suppliers" ref="A1:D16" totalsRowShown="0">
  <autoFilter ref="A1:D16" xr:uid="{3BB6EF4A-BA77-428F-A770-A99D2E31BFDD}"/>
  <tableColumns count="4">
    <tableColumn id="1" xr3:uid="{07FF1EB3-6561-4FE5-A858-FF2CFA2605B1}" name="Supplier ID">
      <calculatedColumnFormula>"S"&amp;TEXT(ROW()-1,"000")</calculatedColumnFormula>
    </tableColumn>
    <tableColumn id="2" xr3:uid="{9E1DCD39-C4FC-4031-AE70-7FED60F5E4A5}" name="Supplier Name"/>
    <tableColumn id="3" xr3:uid="{C3FF4739-5B58-4E39-AC43-99204B61FACD}" name="City" dataDxfId="13">
      <calculatedColumnFormula array="1">INDEX(Cities[City],RANDBETWEEN(1,10))</calculatedColumnFormula>
    </tableColumn>
    <tableColumn id="4" xr3:uid="{ABCBFA77-E815-45D3-AAFE-3CA0551D95D8}" name="State" dataDxfId="12">
      <calculatedColumnFormula>_xlfn.XLOOKUP(Suppliers[[#This Row],[City]],Cities[City],Cities[State])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C7D1F6-2501-4EC8-B629-D77E4ED5EF93}" name="Warehouses" displayName="Warehouses" ref="A1:E9" totalsRowShown="0">
  <autoFilter ref="A1:E9" xr:uid="{C8C7D1F6-2501-4EC8-B629-D77E4ED5EF93}"/>
  <tableColumns count="5">
    <tableColumn id="1" xr3:uid="{DA0BCC56-17C6-4119-AAC8-8FAE72E00EC2}" name="Warehouse ID">
      <calculatedColumnFormula>"W"&amp;TEXT(ROW()-1,"000")</calculatedColumnFormula>
    </tableColumn>
    <tableColumn id="2" xr3:uid="{47CCDDAD-7660-4CF4-9B53-8B39248F17EA}" name="Warehouse Name"/>
    <tableColumn id="3" xr3:uid="{E8CA6D32-E0CE-428D-A2D2-134BA05CFFD0}" name="City"/>
    <tableColumn id="4" xr3:uid="{B6ECF4E9-4288-418B-A38B-146CB52700CE}" name="State" dataDxfId="11">
      <calculatedColumnFormula>_xlfn.XLOOKUP(Warehouses[[#This Row],[City]],Cities[City],Cities[State])</calculatedColumnFormula>
    </tableColumn>
    <tableColumn id="5" xr3:uid="{761F9796-0D6C-494D-870F-42656904CF24}" name="Capacity" dataDxfId="10">
      <calculatedColumnFormula>RANDBETWEEN(500,2000)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CBDD3C-A71C-4E66-870D-11ECBD2B42A4}" name="Orders" displayName="Orders" ref="A1:J1001" totalsRowShown="0">
  <autoFilter ref="A1:J1001" xr:uid="{3ACBDD3C-A71C-4E66-870D-11ECBD2B42A4}"/>
  <tableColumns count="10">
    <tableColumn id="1" xr3:uid="{00F75E53-6C7E-4F91-8FB3-244395B4EF7E}" name="Order ID">
      <calculatedColumnFormula>"O"&amp;TEXT(ROW()-1,"0000")</calculatedColumnFormula>
    </tableColumn>
    <tableColumn id="2" xr3:uid="{BE632B75-129A-423D-9C7F-25BB89902423}" name="Order Date" dataDxfId="0">
      <calculatedColumnFormula>Orders[[#This Row],[Discount%]]</calculatedColumnFormula>
    </tableColumn>
    <tableColumn id="3" xr3:uid="{8E72A8D1-3D0A-402B-935D-13F3F314C454}" name="Customer ID" dataDxfId="9">
      <calculatedColumnFormula array="1">INDEX(Customers[Customer ID],RANDBETWEEN(1,200))</calculatedColumnFormula>
    </tableColumn>
    <tableColumn id="4" xr3:uid="{2F0A47B1-61AF-421E-A285-773ED6B251EE}" name="Product ID" dataDxfId="8">
      <calculatedColumnFormula array="1">INDEX(Products[Product ID],RANDBETWEEN(1,50))</calculatedColumnFormula>
    </tableColumn>
    <tableColumn id="5" xr3:uid="{A846582E-B1F4-4B1F-927C-51D5734DE636}" name="Warehouse ID" dataDxfId="7">
      <calculatedColumnFormula array="1">INDEX(Warehouses[Warehouse ID],RANDBETWEEN(1,8))</calculatedColumnFormula>
    </tableColumn>
    <tableColumn id="6" xr3:uid="{27A808E9-7BB5-4E2A-ADC1-C3E1AE65D129}" name="Quantity" dataDxfId="6">
      <calculatedColumnFormula>RANDBETWEEN(1,10)</calculatedColumnFormula>
    </tableColumn>
    <tableColumn id="7" xr3:uid="{AE66EB1C-350C-4287-A0E1-C73098E7EB45}" name="Unit Price" dataDxfId="5">
      <calculatedColumnFormula>_xlfn.XLOOKUP(Orders[[#This Row],[Product ID]],Products[Product ID],Products[Selling Price])</calculatedColumnFormula>
    </tableColumn>
    <tableColumn id="8" xr3:uid="{F0351608-5B7E-41D2-AD6F-F08761DB7D37}" name="Discount%" dataDxfId="4">
      <calculatedColumnFormula>RANDBETWEEN(0,20)/100</calculatedColumnFormula>
    </tableColumn>
    <tableColumn id="9" xr3:uid="{08DC8CF3-E70C-47CA-BFE4-FE56C5007F25}" name="Sales Amount" dataDxfId="3">
      <calculatedColumnFormula>Orders[[#This Row],[Quantity]]*Orders[[#This Row],[Unit Price]]*(1-Orders[[#This Row],[Discount%]])</calculatedColumnFormula>
    </tableColumn>
    <tableColumn id="10" xr3:uid="{84DC3EF1-171E-4BF2-B240-194E1D848BBD}" name="Payment Method" dataDxfId="1">
      <calculatedColumnFormula array="1">INDEX(PaymentMethods[Payment Method],RANDBETWEEN(1,5))</calculatedColumnFormula>
    </tableColumn>
  </tableColumns>
  <tableStyleInfo name="TableStyleLight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A87E60-CF4E-41F5-86E8-F54772E0822A}" name="PaymentMethods" displayName="PaymentMethods" ref="A1:A6" totalsRowShown="0" headerRowDxfId="2">
  <autoFilter ref="A1:A6" xr:uid="{31A87E60-CF4E-41F5-86E8-F54772E0822A}"/>
  <tableColumns count="1">
    <tableColumn id="1" xr3:uid="{67E437AB-D2A4-4C82-B1D0-B29BA8DB6441}" name="Payment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6FEA-76E6-4E85-9E1C-826F82015357}">
  <dimension ref="A1:E51"/>
  <sheetViews>
    <sheetView zoomScale="82" workbookViewId="0">
      <pane ySplit="1" topLeftCell="A4" activePane="bottomLeft" state="frozen"/>
      <selection pane="bottomLeft" activeCell="J24" sqref="J24"/>
    </sheetView>
  </sheetViews>
  <sheetFormatPr defaultRowHeight="14.4" x14ac:dyDescent="0.3"/>
  <cols>
    <col min="1" max="1" width="11.6640625" customWidth="1"/>
    <col min="2" max="2" width="15.21875" customWidth="1"/>
    <col min="3" max="3" width="16.33203125" customWidth="1"/>
    <col min="4" max="4" width="12.5546875" customWidth="1"/>
    <col min="5" max="5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 t="s">
        <v>5</v>
      </c>
      <c r="B2" t="s">
        <v>55</v>
      </c>
      <c r="C2" t="s">
        <v>65</v>
      </c>
      <c r="D2" s="1">
        <v>35000</v>
      </c>
      <c r="E2" s="1">
        <v>42000</v>
      </c>
    </row>
    <row r="3" spans="1:5" x14ac:dyDescent="0.3">
      <c r="A3" t="s">
        <v>6</v>
      </c>
      <c r="B3" t="s">
        <v>56</v>
      </c>
      <c r="C3" t="s">
        <v>65</v>
      </c>
      <c r="D3" s="1">
        <v>300</v>
      </c>
      <c r="E3" s="1">
        <v>550</v>
      </c>
    </row>
    <row r="4" spans="1:5" x14ac:dyDescent="0.3">
      <c r="A4" t="s">
        <v>7</v>
      </c>
      <c r="B4" t="s">
        <v>57</v>
      </c>
      <c r="C4" t="s">
        <v>65</v>
      </c>
      <c r="D4" s="1">
        <v>600</v>
      </c>
      <c r="E4" s="1">
        <v>900</v>
      </c>
    </row>
    <row r="5" spans="1:5" x14ac:dyDescent="0.3">
      <c r="A5" t="s">
        <v>8</v>
      </c>
      <c r="B5" t="s">
        <v>58</v>
      </c>
      <c r="C5" t="s">
        <v>65</v>
      </c>
      <c r="D5" s="1">
        <v>7000</v>
      </c>
      <c r="E5" s="1">
        <v>9000</v>
      </c>
    </row>
    <row r="6" spans="1:5" x14ac:dyDescent="0.3">
      <c r="A6" t="s">
        <v>9</v>
      </c>
      <c r="B6" t="s">
        <v>59</v>
      </c>
      <c r="C6" t="s">
        <v>65</v>
      </c>
      <c r="D6" s="1">
        <v>8000</v>
      </c>
      <c r="E6" s="1">
        <v>10500</v>
      </c>
    </row>
    <row r="7" spans="1:5" x14ac:dyDescent="0.3">
      <c r="A7" t="s">
        <v>10</v>
      </c>
      <c r="B7" t="s">
        <v>60</v>
      </c>
      <c r="C7" t="s">
        <v>66</v>
      </c>
      <c r="D7" s="1">
        <v>2500</v>
      </c>
      <c r="E7" s="1">
        <v>3500</v>
      </c>
    </row>
    <row r="8" spans="1:5" x14ac:dyDescent="0.3">
      <c r="A8" t="s">
        <v>11</v>
      </c>
      <c r="B8" t="s">
        <v>61</v>
      </c>
      <c r="C8" t="s">
        <v>66</v>
      </c>
      <c r="D8" s="1">
        <v>4500</v>
      </c>
      <c r="E8" s="1">
        <v>6000</v>
      </c>
    </row>
    <row r="9" spans="1:5" x14ac:dyDescent="0.3">
      <c r="A9" t="s">
        <v>12</v>
      </c>
      <c r="B9" t="s">
        <v>62</v>
      </c>
      <c r="C9" t="s">
        <v>66</v>
      </c>
      <c r="D9" s="1">
        <v>3000</v>
      </c>
      <c r="E9" s="1">
        <v>4200</v>
      </c>
    </row>
    <row r="10" spans="1:5" x14ac:dyDescent="0.3">
      <c r="A10" t="s">
        <v>13</v>
      </c>
      <c r="B10" t="s">
        <v>63</v>
      </c>
      <c r="C10" t="s">
        <v>66</v>
      </c>
      <c r="D10" s="1">
        <v>15000</v>
      </c>
      <c r="E10" s="1">
        <v>20000</v>
      </c>
    </row>
    <row r="11" spans="1:5" x14ac:dyDescent="0.3">
      <c r="A11" t="s">
        <v>14</v>
      </c>
      <c r="B11" t="s">
        <v>64</v>
      </c>
      <c r="C11" t="s">
        <v>67</v>
      </c>
      <c r="D11" s="1">
        <v>150</v>
      </c>
      <c r="E11" s="1">
        <v>250</v>
      </c>
    </row>
    <row r="12" spans="1:5" x14ac:dyDescent="0.3">
      <c r="A12" t="s">
        <v>15</v>
      </c>
      <c r="B12" t="s">
        <v>68</v>
      </c>
      <c r="C12" t="s">
        <v>109</v>
      </c>
      <c r="D12" s="1">
        <v>700</v>
      </c>
      <c r="E12" s="1">
        <v>1200</v>
      </c>
    </row>
    <row r="13" spans="1:5" x14ac:dyDescent="0.3">
      <c r="A13" t="s">
        <v>16</v>
      </c>
      <c r="B13" t="s">
        <v>69</v>
      </c>
      <c r="C13" t="s">
        <v>109</v>
      </c>
      <c r="D13" s="1">
        <v>40</v>
      </c>
      <c r="E13" s="1">
        <v>80</v>
      </c>
    </row>
    <row r="14" spans="1:5" x14ac:dyDescent="0.3">
      <c r="A14" t="s">
        <v>17</v>
      </c>
      <c r="B14" t="s">
        <v>70</v>
      </c>
      <c r="C14" t="s">
        <v>109</v>
      </c>
      <c r="D14" s="1">
        <v>10</v>
      </c>
      <c r="E14" s="1">
        <v>25</v>
      </c>
    </row>
    <row r="15" spans="1:5" x14ac:dyDescent="0.3">
      <c r="A15" t="s">
        <v>18</v>
      </c>
      <c r="B15" t="s">
        <v>71</v>
      </c>
      <c r="C15" t="s">
        <v>109</v>
      </c>
      <c r="D15" s="1">
        <v>500</v>
      </c>
      <c r="E15" s="1">
        <v>800</v>
      </c>
    </row>
    <row r="16" spans="1:5" x14ac:dyDescent="0.3">
      <c r="A16" t="s">
        <v>19</v>
      </c>
      <c r="B16" t="s">
        <v>72</v>
      </c>
      <c r="C16" t="s">
        <v>65</v>
      </c>
      <c r="D16" s="1">
        <v>1200</v>
      </c>
      <c r="E16" s="1">
        <v>1800</v>
      </c>
    </row>
    <row r="17" spans="1:5" x14ac:dyDescent="0.3">
      <c r="A17" t="s">
        <v>20</v>
      </c>
      <c r="B17" t="s">
        <v>73</v>
      </c>
      <c r="C17" t="s">
        <v>65</v>
      </c>
      <c r="D17" s="1">
        <v>1800</v>
      </c>
      <c r="E17" s="1">
        <v>2500</v>
      </c>
    </row>
    <row r="18" spans="1:5" x14ac:dyDescent="0.3">
      <c r="A18" t="s">
        <v>21</v>
      </c>
      <c r="B18" t="s">
        <v>74</v>
      </c>
      <c r="C18" t="s">
        <v>65</v>
      </c>
      <c r="D18" s="1">
        <v>350</v>
      </c>
      <c r="E18" s="1">
        <v>650</v>
      </c>
    </row>
    <row r="19" spans="1:5" x14ac:dyDescent="0.3">
      <c r="A19" t="s">
        <v>22</v>
      </c>
      <c r="B19" t="s">
        <v>75</v>
      </c>
      <c r="C19" t="s">
        <v>65</v>
      </c>
      <c r="D19" s="1">
        <v>900</v>
      </c>
      <c r="E19" s="1">
        <v>1500</v>
      </c>
    </row>
    <row r="20" spans="1:5" x14ac:dyDescent="0.3">
      <c r="A20" t="s">
        <v>23</v>
      </c>
      <c r="B20" t="s">
        <v>76</v>
      </c>
      <c r="C20" t="s">
        <v>66</v>
      </c>
      <c r="D20" s="1">
        <v>600</v>
      </c>
      <c r="E20" s="1">
        <v>950</v>
      </c>
    </row>
    <row r="21" spans="1:5" x14ac:dyDescent="0.3">
      <c r="A21" t="s">
        <v>24</v>
      </c>
      <c r="B21" t="s">
        <v>77</v>
      </c>
      <c r="C21" t="s">
        <v>109</v>
      </c>
      <c r="D21" s="1">
        <v>250</v>
      </c>
      <c r="E21" s="1">
        <v>450</v>
      </c>
    </row>
    <row r="22" spans="1:5" x14ac:dyDescent="0.3">
      <c r="A22" t="s">
        <v>25</v>
      </c>
      <c r="B22" t="s">
        <v>78</v>
      </c>
      <c r="C22" t="s">
        <v>65</v>
      </c>
      <c r="D22" s="1">
        <v>18000</v>
      </c>
      <c r="E22" s="1">
        <v>22000</v>
      </c>
    </row>
    <row r="23" spans="1:5" x14ac:dyDescent="0.3">
      <c r="A23" t="s">
        <v>26</v>
      </c>
      <c r="B23" t="s">
        <v>79</v>
      </c>
      <c r="C23" t="s">
        <v>65</v>
      </c>
      <c r="D23" s="1">
        <v>3500</v>
      </c>
      <c r="E23" s="1">
        <v>5000</v>
      </c>
    </row>
    <row r="24" spans="1:5" x14ac:dyDescent="0.3">
      <c r="A24" t="s">
        <v>27</v>
      </c>
      <c r="B24" t="s">
        <v>80</v>
      </c>
      <c r="C24" t="s">
        <v>65</v>
      </c>
      <c r="D24" s="1">
        <v>1500</v>
      </c>
      <c r="E24" s="1">
        <v>2300</v>
      </c>
    </row>
    <row r="25" spans="1:5" x14ac:dyDescent="0.3">
      <c r="A25" t="s">
        <v>28</v>
      </c>
      <c r="B25" t="s">
        <v>81</v>
      </c>
      <c r="C25" t="s">
        <v>65</v>
      </c>
      <c r="D25" s="1">
        <v>1000</v>
      </c>
      <c r="E25" s="1">
        <v>1700</v>
      </c>
    </row>
    <row r="26" spans="1:5" x14ac:dyDescent="0.3">
      <c r="A26" t="s">
        <v>29</v>
      </c>
      <c r="B26" t="s">
        <v>82</v>
      </c>
      <c r="C26" t="s">
        <v>65</v>
      </c>
      <c r="D26" s="1">
        <v>1200</v>
      </c>
      <c r="E26" s="1">
        <v>1800</v>
      </c>
    </row>
    <row r="27" spans="1:5" x14ac:dyDescent="0.3">
      <c r="A27" t="s">
        <v>30</v>
      </c>
      <c r="B27" t="s">
        <v>83</v>
      </c>
      <c r="C27" t="s">
        <v>65</v>
      </c>
      <c r="D27" s="1">
        <v>350</v>
      </c>
      <c r="E27" s="1">
        <v>650</v>
      </c>
    </row>
    <row r="28" spans="1:5" x14ac:dyDescent="0.3">
      <c r="A28" t="s">
        <v>31</v>
      </c>
      <c r="B28" t="s">
        <v>84</v>
      </c>
      <c r="C28" t="s">
        <v>66</v>
      </c>
      <c r="D28" s="1">
        <v>2800</v>
      </c>
      <c r="E28" s="1">
        <v>4000</v>
      </c>
    </row>
    <row r="29" spans="1:5" x14ac:dyDescent="0.3">
      <c r="A29" t="s">
        <v>32</v>
      </c>
      <c r="B29" t="s">
        <v>85</v>
      </c>
      <c r="C29" t="s">
        <v>66</v>
      </c>
      <c r="D29" s="1">
        <v>12000</v>
      </c>
      <c r="E29" s="1">
        <v>16500</v>
      </c>
    </row>
    <row r="30" spans="1:5" x14ac:dyDescent="0.3">
      <c r="A30" t="s">
        <v>33</v>
      </c>
      <c r="B30" t="s">
        <v>86</v>
      </c>
      <c r="C30" t="s">
        <v>66</v>
      </c>
      <c r="D30" s="1">
        <v>2200</v>
      </c>
      <c r="E30" s="1">
        <v>3200</v>
      </c>
    </row>
    <row r="31" spans="1:5" x14ac:dyDescent="0.3">
      <c r="A31" t="s">
        <v>34</v>
      </c>
      <c r="B31" t="s">
        <v>87</v>
      </c>
      <c r="C31" t="s">
        <v>66</v>
      </c>
      <c r="D31" s="1">
        <v>3500</v>
      </c>
      <c r="E31" s="1">
        <v>4800</v>
      </c>
    </row>
    <row r="32" spans="1:5" x14ac:dyDescent="0.3">
      <c r="A32" t="s">
        <v>35</v>
      </c>
      <c r="B32" t="s">
        <v>88</v>
      </c>
      <c r="C32" t="s">
        <v>109</v>
      </c>
      <c r="D32" s="1">
        <v>40</v>
      </c>
      <c r="E32" s="1">
        <v>90</v>
      </c>
    </row>
    <row r="33" spans="1:5" x14ac:dyDescent="0.3">
      <c r="A33" t="s">
        <v>36</v>
      </c>
      <c r="B33" t="s">
        <v>89</v>
      </c>
      <c r="C33" t="s">
        <v>109</v>
      </c>
      <c r="D33" s="1">
        <v>120</v>
      </c>
      <c r="E33" s="1">
        <v>220</v>
      </c>
    </row>
    <row r="34" spans="1:5" x14ac:dyDescent="0.3">
      <c r="A34" t="s">
        <v>37</v>
      </c>
      <c r="B34" t="s">
        <v>90</v>
      </c>
      <c r="C34" t="s">
        <v>109</v>
      </c>
      <c r="D34" s="1">
        <v>90</v>
      </c>
      <c r="E34" s="1">
        <v>180</v>
      </c>
    </row>
    <row r="35" spans="1:5" x14ac:dyDescent="0.3">
      <c r="A35" t="s">
        <v>38</v>
      </c>
      <c r="B35" t="s">
        <v>91</v>
      </c>
      <c r="C35" t="s">
        <v>109</v>
      </c>
      <c r="D35" s="1">
        <v>50</v>
      </c>
      <c r="E35" s="1">
        <v>120</v>
      </c>
    </row>
    <row r="36" spans="1:5" x14ac:dyDescent="0.3">
      <c r="A36" t="s">
        <v>39</v>
      </c>
      <c r="B36" t="s">
        <v>92</v>
      </c>
      <c r="C36" t="s">
        <v>109</v>
      </c>
      <c r="D36" s="1">
        <v>150</v>
      </c>
      <c r="E36" s="1">
        <v>300</v>
      </c>
    </row>
    <row r="37" spans="1:5" x14ac:dyDescent="0.3">
      <c r="A37" t="s">
        <v>40</v>
      </c>
      <c r="B37" t="s">
        <v>93</v>
      </c>
      <c r="C37" t="s">
        <v>67</v>
      </c>
      <c r="D37" s="1">
        <v>250</v>
      </c>
      <c r="E37" s="1">
        <v>450</v>
      </c>
    </row>
    <row r="38" spans="1:5" x14ac:dyDescent="0.3">
      <c r="A38" t="s">
        <v>41</v>
      </c>
      <c r="B38" t="s">
        <v>94</v>
      </c>
      <c r="C38" t="s">
        <v>67</v>
      </c>
      <c r="D38" s="1">
        <v>300</v>
      </c>
      <c r="E38" s="1">
        <v>550</v>
      </c>
    </row>
    <row r="39" spans="1:5" x14ac:dyDescent="0.3">
      <c r="A39" t="s">
        <v>42</v>
      </c>
      <c r="B39" t="s">
        <v>95</v>
      </c>
      <c r="C39" t="s">
        <v>67</v>
      </c>
      <c r="D39" s="1">
        <v>900</v>
      </c>
      <c r="E39" s="1">
        <v>1500</v>
      </c>
    </row>
    <row r="40" spans="1:5" x14ac:dyDescent="0.3">
      <c r="A40" t="s">
        <v>43</v>
      </c>
      <c r="B40" t="s">
        <v>96</v>
      </c>
      <c r="C40" t="s">
        <v>67</v>
      </c>
      <c r="D40" s="1">
        <v>120</v>
      </c>
      <c r="E40" s="1">
        <v>250</v>
      </c>
    </row>
    <row r="41" spans="1:5" x14ac:dyDescent="0.3">
      <c r="A41" t="s">
        <v>44</v>
      </c>
      <c r="B41" t="s">
        <v>97</v>
      </c>
      <c r="C41" t="s">
        <v>67</v>
      </c>
      <c r="D41" s="1">
        <v>80</v>
      </c>
      <c r="E41" s="1">
        <v>180</v>
      </c>
    </row>
    <row r="42" spans="1:5" x14ac:dyDescent="0.3">
      <c r="A42" t="s">
        <v>45</v>
      </c>
      <c r="B42" t="s">
        <v>98</v>
      </c>
      <c r="C42" t="s">
        <v>108</v>
      </c>
      <c r="D42" s="1">
        <v>28000</v>
      </c>
      <c r="E42" s="1">
        <v>36000</v>
      </c>
    </row>
    <row r="43" spans="1:5" x14ac:dyDescent="0.3">
      <c r="A43" t="s">
        <v>46</v>
      </c>
      <c r="B43" t="s">
        <v>99</v>
      </c>
      <c r="C43" t="s">
        <v>108</v>
      </c>
      <c r="D43" s="1">
        <v>22000</v>
      </c>
      <c r="E43" s="1">
        <v>29000</v>
      </c>
    </row>
    <row r="44" spans="1:5" x14ac:dyDescent="0.3">
      <c r="A44" t="s">
        <v>47</v>
      </c>
      <c r="B44" t="s">
        <v>100</v>
      </c>
      <c r="C44" t="s">
        <v>108</v>
      </c>
      <c r="D44" s="1">
        <v>18000</v>
      </c>
      <c r="E44" s="1">
        <v>24500</v>
      </c>
    </row>
    <row r="45" spans="1:5" x14ac:dyDescent="0.3">
      <c r="A45" t="s">
        <v>48</v>
      </c>
      <c r="B45" t="s">
        <v>101</v>
      </c>
      <c r="C45" t="s">
        <v>108</v>
      </c>
      <c r="D45" s="1">
        <v>6500</v>
      </c>
      <c r="E45" s="1">
        <v>8500</v>
      </c>
    </row>
    <row r="46" spans="1:5" x14ac:dyDescent="0.3">
      <c r="A46" t="s">
        <v>49</v>
      </c>
      <c r="B46" t="s">
        <v>102</v>
      </c>
      <c r="C46" t="s">
        <v>108</v>
      </c>
      <c r="D46" s="1">
        <v>900</v>
      </c>
      <c r="E46" s="1">
        <v>1500</v>
      </c>
    </row>
    <row r="47" spans="1:5" x14ac:dyDescent="0.3">
      <c r="A47" t="s">
        <v>50</v>
      </c>
      <c r="B47" t="s">
        <v>103</v>
      </c>
      <c r="C47" t="s">
        <v>108</v>
      </c>
      <c r="D47" s="1">
        <v>1600</v>
      </c>
      <c r="E47" s="1">
        <v>2500</v>
      </c>
    </row>
    <row r="48" spans="1:5" x14ac:dyDescent="0.3">
      <c r="A48" t="s">
        <v>51</v>
      </c>
      <c r="B48" t="s">
        <v>104</v>
      </c>
      <c r="C48" t="s">
        <v>108</v>
      </c>
      <c r="D48" s="1">
        <v>4500</v>
      </c>
      <c r="E48" s="1">
        <v>6200</v>
      </c>
    </row>
    <row r="49" spans="1:5" x14ac:dyDescent="0.3">
      <c r="A49" t="s">
        <v>52</v>
      </c>
      <c r="B49" t="s">
        <v>105</v>
      </c>
      <c r="C49" t="s">
        <v>108</v>
      </c>
      <c r="D49" s="1">
        <v>700</v>
      </c>
      <c r="E49" s="1">
        <v>1200</v>
      </c>
    </row>
    <row r="50" spans="1:5" x14ac:dyDescent="0.3">
      <c r="A50" t="s">
        <v>53</v>
      </c>
      <c r="B50" t="s">
        <v>106</v>
      </c>
      <c r="C50" t="s">
        <v>108</v>
      </c>
      <c r="D50" s="1">
        <v>2500</v>
      </c>
      <c r="E50" s="1">
        <v>3800</v>
      </c>
    </row>
    <row r="51" spans="1:5" x14ac:dyDescent="0.3">
      <c r="A51" t="s">
        <v>54</v>
      </c>
      <c r="B51" t="s">
        <v>107</v>
      </c>
      <c r="C51" t="s">
        <v>108</v>
      </c>
      <c r="D51" s="1">
        <v>8500</v>
      </c>
      <c r="E51" s="1">
        <v>12000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85C5-30F0-4116-9958-5529FD1E445B}">
  <dimension ref="A1:G20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.44140625" customWidth="1"/>
    <col min="2" max="2" width="16.33203125" customWidth="1"/>
    <col min="3" max="3" width="13.44140625" customWidth="1"/>
    <col min="4" max="4" width="11.5546875" customWidth="1"/>
    <col min="5" max="5" width="17.77734375" bestFit="1" customWidth="1"/>
    <col min="6" max="6" width="15.77734375" customWidth="1"/>
    <col min="7" max="7" width="16.77734375" customWidth="1"/>
  </cols>
  <sheetData>
    <row r="1" spans="1:7" x14ac:dyDescent="0.3">
      <c r="A1" t="s">
        <v>456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</row>
    <row r="2" spans="1:7" x14ac:dyDescent="0.3">
      <c r="A2" t="s">
        <v>116</v>
      </c>
      <c r="B2" t="s">
        <v>136</v>
      </c>
      <c r="C2" t="s">
        <v>156</v>
      </c>
      <c r="D2">
        <v>28</v>
      </c>
      <c r="E2" t="s">
        <v>158</v>
      </c>
      <c r="F2" t="s">
        <v>178</v>
      </c>
      <c r="G2" t="s">
        <v>191</v>
      </c>
    </row>
    <row r="3" spans="1:7" x14ac:dyDescent="0.3">
      <c r="A3" t="s">
        <v>117</v>
      </c>
      <c r="B3" t="s">
        <v>137</v>
      </c>
      <c r="C3" t="s">
        <v>157</v>
      </c>
      <c r="D3">
        <v>32</v>
      </c>
      <c r="E3" t="s">
        <v>159</v>
      </c>
      <c r="F3" t="s">
        <v>179</v>
      </c>
      <c r="G3" t="s">
        <v>192</v>
      </c>
    </row>
    <row r="4" spans="1:7" x14ac:dyDescent="0.3">
      <c r="A4" t="s">
        <v>118</v>
      </c>
      <c r="B4" t="s">
        <v>138</v>
      </c>
      <c r="C4" t="s">
        <v>156</v>
      </c>
      <c r="D4">
        <v>25</v>
      </c>
      <c r="E4" t="s">
        <v>160</v>
      </c>
      <c r="F4" t="s">
        <v>180</v>
      </c>
      <c r="G4" t="s">
        <v>193</v>
      </c>
    </row>
    <row r="5" spans="1:7" x14ac:dyDescent="0.3">
      <c r="A5" t="s">
        <v>119</v>
      </c>
      <c r="B5" t="s">
        <v>139</v>
      </c>
      <c r="C5" t="s">
        <v>157</v>
      </c>
      <c r="D5">
        <v>30</v>
      </c>
      <c r="E5" t="s">
        <v>161</v>
      </c>
      <c r="F5" t="s">
        <v>181</v>
      </c>
      <c r="G5" t="s">
        <v>191</v>
      </c>
    </row>
    <row r="6" spans="1:7" x14ac:dyDescent="0.3">
      <c r="A6" t="s">
        <v>120</v>
      </c>
      <c r="B6" t="s">
        <v>140</v>
      </c>
      <c r="C6" t="s">
        <v>156</v>
      </c>
      <c r="D6">
        <v>35</v>
      </c>
      <c r="E6" t="s">
        <v>162</v>
      </c>
      <c r="F6" t="s">
        <v>182</v>
      </c>
      <c r="G6" t="s">
        <v>192</v>
      </c>
    </row>
    <row r="7" spans="1:7" x14ac:dyDescent="0.3">
      <c r="A7" t="s">
        <v>121</v>
      </c>
      <c r="B7" t="s">
        <v>141</v>
      </c>
      <c r="C7" t="s">
        <v>157</v>
      </c>
      <c r="D7">
        <v>27</v>
      </c>
      <c r="E7" t="s">
        <v>163</v>
      </c>
      <c r="F7" t="s">
        <v>183</v>
      </c>
      <c r="G7" t="s">
        <v>191</v>
      </c>
    </row>
    <row r="8" spans="1:7" x14ac:dyDescent="0.3">
      <c r="A8" t="s">
        <v>122</v>
      </c>
      <c r="B8" t="s">
        <v>142</v>
      </c>
      <c r="C8" t="s">
        <v>156</v>
      </c>
      <c r="D8">
        <v>29</v>
      </c>
      <c r="E8" t="s">
        <v>164</v>
      </c>
      <c r="F8" t="s">
        <v>184</v>
      </c>
      <c r="G8" t="s">
        <v>193</v>
      </c>
    </row>
    <row r="9" spans="1:7" x14ac:dyDescent="0.3">
      <c r="A9" t="s">
        <v>123</v>
      </c>
      <c r="B9" t="s">
        <v>143</v>
      </c>
      <c r="C9" t="s">
        <v>157</v>
      </c>
      <c r="D9">
        <v>24</v>
      </c>
      <c r="E9" t="s">
        <v>165</v>
      </c>
      <c r="F9" t="s">
        <v>185</v>
      </c>
      <c r="G9" t="s">
        <v>192</v>
      </c>
    </row>
    <row r="10" spans="1:7" x14ac:dyDescent="0.3">
      <c r="A10" t="s">
        <v>124</v>
      </c>
      <c r="B10" t="s">
        <v>144</v>
      </c>
      <c r="C10" t="s">
        <v>156</v>
      </c>
      <c r="D10">
        <v>31</v>
      </c>
      <c r="E10" t="s">
        <v>166</v>
      </c>
      <c r="F10" t="s">
        <v>178</v>
      </c>
      <c r="G10" t="s">
        <v>191</v>
      </c>
    </row>
    <row r="11" spans="1:7" x14ac:dyDescent="0.3">
      <c r="A11" t="s">
        <v>125</v>
      </c>
      <c r="B11" t="s">
        <v>145</v>
      </c>
      <c r="C11" t="s">
        <v>157</v>
      </c>
      <c r="D11">
        <v>26</v>
      </c>
      <c r="E11" t="s">
        <v>167</v>
      </c>
      <c r="F11" t="s">
        <v>167</v>
      </c>
      <c r="G11" t="s">
        <v>192</v>
      </c>
    </row>
    <row r="12" spans="1:7" x14ac:dyDescent="0.3">
      <c r="A12" t="s">
        <v>126</v>
      </c>
      <c r="B12" t="s">
        <v>146</v>
      </c>
      <c r="C12" t="s">
        <v>156</v>
      </c>
      <c r="D12">
        <v>34</v>
      </c>
      <c r="E12" t="s">
        <v>168</v>
      </c>
      <c r="F12" t="s">
        <v>186</v>
      </c>
      <c r="G12" t="s">
        <v>193</v>
      </c>
    </row>
    <row r="13" spans="1:7" x14ac:dyDescent="0.3">
      <c r="A13" t="s">
        <v>127</v>
      </c>
      <c r="B13" t="s">
        <v>147</v>
      </c>
      <c r="C13" t="s">
        <v>157</v>
      </c>
      <c r="D13">
        <v>29</v>
      </c>
      <c r="E13" t="s">
        <v>169</v>
      </c>
      <c r="F13" t="s">
        <v>187</v>
      </c>
      <c r="G13" t="s">
        <v>191</v>
      </c>
    </row>
    <row r="14" spans="1:7" x14ac:dyDescent="0.3">
      <c r="A14" t="s">
        <v>128</v>
      </c>
      <c r="B14" t="s">
        <v>148</v>
      </c>
      <c r="C14" t="s">
        <v>156</v>
      </c>
      <c r="D14">
        <v>38</v>
      </c>
      <c r="E14" t="s">
        <v>170</v>
      </c>
      <c r="F14" t="s">
        <v>188</v>
      </c>
      <c r="G14" t="s">
        <v>192</v>
      </c>
    </row>
    <row r="15" spans="1:7" x14ac:dyDescent="0.3">
      <c r="A15" t="s">
        <v>129</v>
      </c>
      <c r="B15" t="s">
        <v>149</v>
      </c>
      <c r="C15" t="s">
        <v>157</v>
      </c>
      <c r="D15">
        <v>23</v>
      </c>
      <c r="E15" t="s">
        <v>171</v>
      </c>
      <c r="F15" t="s">
        <v>171</v>
      </c>
      <c r="G15" t="s">
        <v>192</v>
      </c>
    </row>
    <row r="16" spans="1:7" x14ac:dyDescent="0.3">
      <c r="A16" t="s">
        <v>130</v>
      </c>
      <c r="B16" t="s">
        <v>150</v>
      </c>
      <c r="C16" t="s">
        <v>156</v>
      </c>
      <c r="D16">
        <v>33</v>
      </c>
      <c r="E16" t="s">
        <v>172</v>
      </c>
      <c r="F16" t="s">
        <v>183</v>
      </c>
      <c r="G16" t="s">
        <v>191</v>
      </c>
    </row>
    <row r="17" spans="1:7" x14ac:dyDescent="0.3">
      <c r="A17" t="s">
        <v>131</v>
      </c>
      <c r="B17" t="s">
        <v>151</v>
      </c>
      <c r="C17" t="s">
        <v>157</v>
      </c>
      <c r="D17">
        <v>28</v>
      </c>
      <c r="E17" t="s">
        <v>173</v>
      </c>
      <c r="F17" t="s">
        <v>180</v>
      </c>
      <c r="G17" t="s">
        <v>193</v>
      </c>
    </row>
    <row r="18" spans="1:7" x14ac:dyDescent="0.3">
      <c r="A18" t="s">
        <v>132</v>
      </c>
      <c r="B18" t="s">
        <v>152</v>
      </c>
      <c r="C18" t="s">
        <v>156</v>
      </c>
      <c r="D18">
        <v>36</v>
      </c>
      <c r="E18" t="s">
        <v>174</v>
      </c>
      <c r="F18" t="s">
        <v>186</v>
      </c>
      <c r="G18" t="s">
        <v>191</v>
      </c>
    </row>
    <row r="19" spans="1:7" x14ac:dyDescent="0.3">
      <c r="A19" t="s">
        <v>133</v>
      </c>
      <c r="B19" t="s">
        <v>153</v>
      </c>
      <c r="C19" t="s">
        <v>157</v>
      </c>
      <c r="D19">
        <v>27</v>
      </c>
      <c r="E19" t="s">
        <v>175</v>
      </c>
      <c r="F19" t="s">
        <v>187</v>
      </c>
      <c r="G19" t="s">
        <v>192</v>
      </c>
    </row>
    <row r="20" spans="1:7" x14ac:dyDescent="0.3">
      <c r="A20" t="s">
        <v>134</v>
      </c>
      <c r="B20" t="s">
        <v>154</v>
      </c>
      <c r="C20" t="s">
        <v>156</v>
      </c>
      <c r="D20">
        <v>40</v>
      </c>
      <c r="E20" t="s">
        <v>176</v>
      </c>
      <c r="F20" t="s">
        <v>189</v>
      </c>
      <c r="G20" t="s">
        <v>193</v>
      </c>
    </row>
    <row r="21" spans="1:7" x14ac:dyDescent="0.3">
      <c r="A21" t="s">
        <v>135</v>
      </c>
      <c r="B21" t="s">
        <v>155</v>
      </c>
      <c r="C21" t="s">
        <v>157</v>
      </c>
      <c r="D21">
        <v>25</v>
      </c>
      <c r="E21" t="s">
        <v>177</v>
      </c>
      <c r="F21" t="s">
        <v>190</v>
      </c>
      <c r="G21" t="s">
        <v>191</v>
      </c>
    </row>
    <row r="22" spans="1:7" x14ac:dyDescent="0.3">
      <c r="A22" t="s">
        <v>194</v>
      </c>
      <c r="B22" t="str" cm="1">
        <f t="array" aca="1" ref="B22" ca="1">INDEX(FirstNames[First Name],RANDBETWEEN(1,30))&amp;" "&amp;INDEX(LastNames[Last Name],RANDBETWEEN(1,20))</f>
        <v>Abinaya Kapoor</v>
      </c>
      <c r="C22" t="str">
        <f ca="1">_xlfn.XLOOKUP(LEFT(Customers[[#This Row],[Customer Name]],FIND(" ",Customers[[#This Row],[Customer Name]])-1),FirstNames[First Name],FirstNames[Gender])</f>
        <v>Female</v>
      </c>
      <c r="D22">
        <f ca="1">RANDBETWEEN(18,60)</f>
        <v>42</v>
      </c>
      <c r="E22" t="str" cm="1">
        <f t="array" aca="1" ref="E22" ca="1">INDEX(Cities[City],RANDBETWEEN(1,10))</f>
        <v>Lucknow</v>
      </c>
      <c r="F22" t="str">
        <f ca="1">_xlfn.XLOOKUP(Customers[[#This Row],[City]],Cities[City],Cities[State])</f>
        <v>Uttar Pradesh</v>
      </c>
      <c r="G22" t="str" cm="1">
        <f t="array" aca="1" ref="G22" ca="1">INDEX(Cities[Customer Type],RANDBETWEEN(1,3))</f>
        <v>VIP</v>
      </c>
    </row>
    <row r="23" spans="1:7" x14ac:dyDescent="0.3">
      <c r="A23" t="s">
        <v>195</v>
      </c>
      <c r="B23" t="str" cm="1">
        <f t="array" aca="1" ref="B23" ca="1">INDEX(FirstNames[First Name],RANDBETWEEN(1,30))&amp;" "&amp;INDEX(LastNames[Last Name],RANDBETWEEN(1,20))</f>
        <v>Varun Malhotra</v>
      </c>
      <c r="C23" t="str">
        <f ca="1">_xlfn.XLOOKUP(LEFT(Customers[[#This Row],[Customer Name]],FIND(" ",Customers[[#This Row],[Customer Name]])-1),FirstNames[First Name],FirstNames[Gender])</f>
        <v>Male</v>
      </c>
      <c r="D23">
        <f t="shared" ref="D23:D86" ca="1" si="0">RANDBETWEEN(18,60)</f>
        <v>23</v>
      </c>
      <c r="E23" t="str" cm="1">
        <f t="array" aca="1" ref="E23" ca="1">INDEX(Cities[City],RANDBETWEEN(1,10))</f>
        <v>Kolkata</v>
      </c>
      <c r="F23" t="str">
        <f ca="1">_xlfn.XLOOKUP(Customers[[#This Row],[City]],Cities[City],Cities[State])</f>
        <v>West Bengal</v>
      </c>
      <c r="G23" t="str" cm="1">
        <f t="array" aca="1" ref="G23" ca="1">INDEX(Cities[Customer Type],RANDBETWEEN(1,3))</f>
        <v>VIP</v>
      </c>
    </row>
    <row r="24" spans="1:7" x14ac:dyDescent="0.3">
      <c r="A24" t="s">
        <v>196</v>
      </c>
      <c r="B24" t="str" cm="1">
        <f t="array" aca="1" ref="B24" ca="1">INDEX(FirstNames[First Name],RANDBETWEEN(1,30))&amp;" "&amp;INDEX(LastNames[Last Name],RANDBETWEEN(1,20))</f>
        <v>Akash Kumar</v>
      </c>
      <c r="C24" t="str">
        <f ca="1">_xlfn.XLOOKUP(LEFT(Customers[[#This Row],[Customer Name]],FIND(" ",Customers[[#This Row],[Customer Name]])-1),FirstNames[First Name],FirstNames[Gender])</f>
        <v>Male</v>
      </c>
      <c r="D24">
        <f t="shared" ca="1" si="0"/>
        <v>54</v>
      </c>
      <c r="E24" t="str" cm="1">
        <f t="array" aca="1" ref="E24" ca="1">INDEX(Cities[City],RANDBETWEEN(1,10))</f>
        <v>Jaipur</v>
      </c>
      <c r="F24" t="str">
        <f ca="1">_xlfn.XLOOKUP(Customers[[#This Row],[City]],Cities[City],Cities[State])</f>
        <v>Rajasthan</v>
      </c>
      <c r="G24" t="str" cm="1">
        <f t="array" aca="1" ref="G24" ca="1">INDEX(Cities[Customer Type],RANDBETWEEN(1,3))</f>
        <v>Premium</v>
      </c>
    </row>
    <row r="25" spans="1:7" x14ac:dyDescent="0.3">
      <c r="A25" t="s">
        <v>197</v>
      </c>
      <c r="B25" t="str" cm="1">
        <f t="array" aca="1" ref="B25" ca="1">INDEX(FirstNames[First Name],RANDBETWEEN(1,30))&amp;" "&amp;INDEX(LastNames[Last Name],RANDBETWEEN(1,20))</f>
        <v>Karthik Verma</v>
      </c>
      <c r="C25" t="str">
        <f ca="1">_xlfn.XLOOKUP(LEFT(Customers[[#This Row],[Customer Name]],FIND(" ",Customers[[#This Row],[Customer Name]])-1),FirstNames[First Name],FirstNames[Gender])</f>
        <v>Male</v>
      </c>
      <c r="D25">
        <f t="shared" ca="1" si="0"/>
        <v>51</v>
      </c>
      <c r="E25" t="str" cm="1">
        <f t="array" aca="1" ref="E25" ca="1">INDEX(Cities[City],RANDBETWEEN(1,10))</f>
        <v>Ahmedabad</v>
      </c>
      <c r="F25" t="str">
        <f ca="1">_xlfn.XLOOKUP(Customers[[#This Row],[City]],Cities[City],Cities[State])</f>
        <v>Gujarat</v>
      </c>
      <c r="G25" t="str" cm="1">
        <f t="array" aca="1" ref="G25" ca="1">INDEX(Cities[Customer Type],RANDBETWEEN(1,3))</f>
        <v>Premium</v>
      </c>
    </row>
    <row r="26" spans="1:7" x14ac:dyDescent="0.3">
      <c r="A26" t="s">
        <v>198</v>
      </c>
      <c r="B26" t="str" cm="1">
        <f t="array" aca="1" ref="B26" ca="1">INDEX(FirstNames[First Name],RANDBETWEEN(1,30))&amp;" "&amp;INDEX(LastNames[Last Name],RANDBETWEEN(1,20))</f>
        <v>Aarav Ghosh</v>
      </c>
      <c r="C26" t="str">
        <f ca="1">_xlfn.XLOOKUP(LEFT(Customers[[#This Row],[Customer Name]],FIND(" ",Customers[[#This Row],[Customer Name]])-1),FirstNames[First Name],FirstNames[Gender])</f>
        <v>Male</v>
      </c>
      <c r="D26">
        <f t="shared" ca="1" si="0"/>
        <v>58</v>
      </c>
      <c r="E26" t="str" cm="1">
        <f t="array" aca="1" ref="E26" ca="1">INDEX(Cities[City],RANDBETWEEN(1,10))</f>
        <v>Kochi</v>
      </c>
      <c r="F26" t="str">
        <f ca="1">_xlfn.XLOOKUP(Customers[[#This Row],[City]],Cities[City],Cities[State])</f>
        <v>Kerala</v>
      </c>
      <c r="G26" t="str" cm="1">
        <f t="array" aca="1" ref="G26" ca="1">INDEX(Cities[Customer Type],RANDBETWEEN(1,3))</f>
        <v>Regular</v>
      </c>
    </row>
    <row r="27" spans="1:7" x14ac:dyDescent="0.3">
      <c r="A27" t="s">
        <v>199</v>
      </c>
      <c r="B27" t="str" cm="1">
        <f t="array" aca="1" ref="B27" ca="1">INDEX(FirstNames[First Name],RANDBETWEEN(1,30))&amp;" "&amp;INDEX(LastNames[Last Name],RANDBETWEEN(1,20))</f>
        <v>Abinaya Singh</v>
      </c>
      <c r="C27" t="str">
        <f ca="1">_xlfn.XLOOKUP(LEFT(Customers[[#This Row],[Customer Name]],FIND(" ",Customers[[#This Row],[Customer Name]])-1),FirstNames[First Name],FirstNames[Gender])</f>
        <v>Female</v>
      </c>
      <c r="D27">
        <f t="shared" ca="1" si="0"/>
        <v>21</v>
      </c>
      <c r="E27" t="str" cm="1">
        <f t="array" aca="1" ref="E27" ca="1">INDEX(Cities[City],RANDBETWEEN(1,10))</f>
        <v>Lucknow</v>
      </c>
      <c r="F27" t="str">
        <f ca="1">_xlfn.XLOOKUP(Customers[[#This Row],[City]],Cities[City],Cities[State])</f>
        <v>Uttar Pradesh</v>
      </c>
      <c r="G27" t="str" cm="1">
        <f t="array" aca="1" ref="G27" ca="1">INDEX(Cities[Customer Type],RANDBETWEEN(1,3))</f>
        <v>VIP</v>
      </c>
    </row>
    <row r="28" spans="1:7" x14ac:dyDescent="0.3">
      <c r="A28" t="s">
        <v>200</v>
      </c>
      <c r="B28" t="str" cm="1">
        <f t="array" aca="1" ref="B28" ca="1">INDEX(FirstNames[First Name],RANDBETWEEN(1,30))&amp;" "&amp;INDEX(LastNames[Last Name],RANDBETWEEN(1,20))</f>
        <v>Divya Patel</v>
      </c>
      <c r="C28" t="str">
        <f ca="1">_xlfn.XLOOKUP(LEFT(Customers[[#This Row],[Customer Name]],FIND(" ",Customers[[#This Row],[Customer Name]])-1),FirstNames[First Name],FirstNames[Gender])</f>
        <v>Female</v>
      </c>
      <c r="D28">
        <f t="shared" ca="1" si="0"/>
        <v>38</v>
      </c>
      <c r="E28" t="str" cm="1">
        <f t="array" aca="1" ref="E28" ca="1">INDEX(Cities[City],RANDBETWEEN(1,10))</f>
        <v>Ahmedabad</v>
      </c>
      <c r="F28" t="str">
        <f ca="1">_xlfn.XLOOKUP(Customers[[#This Row],[City]],Cities[City],Cities[State])</f>
        <v>Gujarat</v>
      </c>
      <c r="G28" t="str" cm="1">
        <f t="array" aca="1" ref="G28" ca="1">INDEX(Cities[Customer Type],RANDBETWEEN(1,3))</f>
        <v>VIP</v>
      </c>
    </row>
    <row r="29" spans="1:7" x14ac:dyDescent="0.3">
      <c r="A29" t="s">
        <v>201</v>
      </c>
      <c r="B29" t="str" cm="1">
        <f t="array" aca="1" ref="B29" ca="1">INDEX(FirstNames[First Name],RANDBETWEEN(1,30))&amp;" "&amp;INDEX(LastNames[Last Name],RANDBETWEEN(1,20))</f>
        <v>Rahul Singh</v>
      </c>
      <c r="C29" t="str">
        <f ca="1">_xlfn.XLOOKUP(LEFT(Customers[[#This Row],[Customer Name]],FIND(" ",Customers[[#This Row],[Customer Name]])-1),FirstNames[First Name],FirstNames[Gender])</f>
        <v>Male</v>
      </c>
      <c r="D29">
        <f t="shared" ca="1" si="0"/>
        <v>47</v>
      </c>
      <c r="E29" t="str" cm="1">
        <f t="array" aca="1" ref="E29" ca="1">INDEX(Cities[City],RANDBETWEEN(1,10))</f>
        <v>Kochi</v>
      </c>
      <c r="F29" t="str">
        <f ca="1">_xlfn.XLOOKUP(Customers[[#This Row],[City]],Cities[City],Cities[State])</f>
        <v>Kerala</v>
      </c>
      <c r="G29" t="str" cm="1">
        <f t="array" aca="1" ref="G29" ca="1">INDEX(Cities[Customer Type],RANDBETWEEN(1,3))</f>
        <v>Premium</v>
      </c>
    </row>
    <row r="30" spans="1:7" x14ac:dyDescent="0.3">
      <c r="A30" t="s">
        <v>202</v>
      </c>
      <c r="B30" t="str" cm="1">
        <f t="array" aca="1" ref="B30" ca="1">INDEX(FirstNames[First Name],RANDBETWEEN(1,30))&amp;" "&amp;INDEX(LastNames[Last Name],RANDBETWEEN(1,20))</f>
        <v>Anjali Yadav</v>
      </c>
      <c r="C30" t="str">
        <f ca="1">_xlfn.XLOOKUP(LEFT(Customers[[#This Row],[Customer Name]],FIND(" ",Customers[[#This Row],[Customer Name]])-1),FirstNames[First Name],FirstNames[Gender])</f>
        <v>Female</v>
      </c>
      <c r="D30">
        <f t="shared" ca="1" si="0"/>
        <v>28</v>
      </c>
      <c r="E30" t="str" cm="1">
        <f t="array" aca="1" ref="E30" ca="1">INDEX(Cities[City],RANDBETWEEN(1,10))</f>
        <v>Bengaluru</v>
      </c>
      <c r="F30" t="str">
        <f ca="1">_xlfn.XLOOKUP(Customers[[#This Row],[City]],Cities[City],Cities[State])</f>
        <v>Karnataka</v>
      </c>
      <c r="G30" t="str" cm="1">
        <f t="array" aca="1" ref="G30" ca="1">INDEX(Cities[Customer Type],RANDBETWEEN(1,3))</f>
        <v>VIP</v>
      </c>
    </row>
    <row r="31" spans="1:7" x14ac:dyDescent="0.3">
      <c r="A31" t="s">
        <v>203</v>
      </c>
      <c r="B31" t="str" cm="1">
        <f t="array" aca="1" ref="B31" ca="1">INDEX(FirstNames[First Name],RANDBETWEEN(1,30))&amp;" "&amp;INDEX(LastNames[Last Name],RANDBETWEEN(1,20))</f>
        <v>Akash Singh</v>
      </c>
      <c r="C31" t="str">
        <f ca="1">_xlfn.XLOOKUP(LEFT(Customers[[#This Row],[Customer Name]],FIND(" ",Customers[[#This Row],[Customer Name]])-1),FirstNames[First Name],FirstNames[Gender])</f>
        <v>Male</v>
      </c>
      <c r="D31">
        <f t="shared" ca="1" si="0"/>
        <v>18</v>
      </c>
      <c r="E31" t="str" cm="1">
        <f t="array" aca="1" ref="E31" ca="1">INDEX(Cities[City],RANDBETWEEN(1,10))</f>
        <v>Hyderabad</v>
      </c>
      <c r="F31" t="str">
        <f ca="1">_xlfn.XLOOKUP(Customers[[#This Row],[City]],Cities[City],Cities[State])</f>
        <v>Telangana</v>
      </c>
      <c r="G31" t="str" cm="1">
        <f t="array" aca="1" ref="G31" ca="1">INDEX(Cities[Customer Type],RANDBETWEEN(1,3))</f>
        <v>Regular</v>
      </c>
    </row>
    <row r="32" spans="1:7" x14ac:dyDescent="0.3">
      <c r="A32" t="s">
        <v>204</v>
      </c>
      <c r="B32" t="str" cm="1">
        <f t="array" aca="1" ref="B32" ca="1">INDEX(FirstNames[First Name],RANDBETWEEN(1,30))&amp;" "&amp;INDEX(LastNames[Last Name],RANDBETWEEN(1,20))</f>
        <v>Abinaya Das</v>
      </c>
      <c r="C32" t="str">
        <f ca="1">_xlfn.XLOOKUP(LEFT(Customers[[#This Row],[Customer Name]],FIND(" ",Customers[[#This Row],[Customer Name]])-1),FirstNames[First Name],FirstNames[Gender])</f>
        <v>Female</v>
      </c>
      <c r="D32">
        <f t="shared" ca="1" si="0"/>
        <v>42</v>
      </c>
      <c r="E32" t="str" cm="1">
        <f t="array" aca="1" ref="E32" ca="1">INDEX(Cities[City],RANDBETWEEN(1,10))</f>
        <v>Bengaluru</v>
      </c>
      <c r="F32" t="str">
        <f ca="1">_xlfn.XLOOKUP(Customers[[#This Row],[City]],Cities[City],Cities[State])</f>
        <v>Karnataka</v>
      </c>
      <c r="G32" t="str" cm="1">
        <f t="array" aca="1" ref="G32" ca="1">INDEX(Cities[Customer Type],RANDBETWEEN(1,3))</f>
        <v>Premium</v>
      </c>
    </row>
    <row r="33" spans="1:7" x14ac:dyDescent="0.3">
      <c r="A33" t="s">
        <v>205</v>
      </c>
      <c r="B33" t="str" cm="1">
        <f t="array" aca="1" ref="B33" ca="1">INDEX(FirstNames[First Name],RANDBETWEEN(1,30))&amp;" "&amp;INDEX(LastNames[Last Name],RANDBETWEEN(1,20))</f>
        <v>Meera Patel</v>
      </c>
      <c r="C33" t="str">
        <f ca="1">_xlfn.XLOOKUP(LEFT(Customers[[#This Row],[Customer Name]],FIND(" ",Customers[[#This Row],[Customer Name]])-1),FirstNames[First Name],FirstNames[Gender])</f>
        <v>Female</v>
      </c>
      <c r="D33">
        <f t="shared" ca="1" si="0"/>
        <v>57</v>
      </c>
      <c r="E33" t="str" cm="1">
        <f t="array" aca="1" ref="E33" ca="1">INDEX(Cities[City],RANDBETWEEN(1,10))</f>
        <v>Lucknow</v>
      </c>
      <c r="F33" t="str">
        <f ca="1">_xlfn.XLOOKUP(Customers[[#This Row],[City]],Cities[City],Cities[State])</f>
        <v>Uttar Pradesh</v>
      </c>
      <c r="G33" t="str" cm="1">
        <f t="array" aca="1" ref="G33" ca="1">INDEX(Cities[Customer Type],RANDBETWEEN(1,3))</f>
        <v>Premium</v>
      </c>
    </row>
    <row r="34" spans="1:7" x14ac:dyDescent="0.3">
      <c r="A34" t="s">
        <v>206</v>
      </c>
      <c r="B34" t="str" cm="1">
        <f t="array" aca="1" ref="B34" ca="1">INDEX(FirstNames[First Name],RANDBETWEEN(1,30))&amp;" "&amp;INDEX(LastNames[Last Name],RANDBETWEEN(1,20))</f>
        <v>Deepika Singh</v>
      </c>
      <c r="C34" t="str">
        <f ca="1">_xlfn.XLOOKUP(LEFT(Customers[[#This Row],[Customer Name]],FIND(" ",Customers[[#This Row],[Customer Name]])-1),FirstNames[First Name],FirstNames[Gender])</f>
        <v>Female</v>
      </c>
      <c r="D34">
        <f t="shared" ca="1" si="0"/>
        <v>58</v>
      </c>
      <c r="E34" t="str" cm="1">
        <f t="array" aca="1" ref="E34" ca="1">INDEX(Cities[City],RANDBETWEEN(1,10))</f>
        <v>Jaipur</v>
      </c>
      <c r="F34" t="str">
        <f ca="1">_xlfn.XLOOKUP(Customers[[#This Row],[City]],Cities[City],Cities[State])</f>
        <v>Rajasthan</v>
      </c>
      <c r="G34" t="str" cm="1">
        <f t="array" aca="1" ref="G34" ca="1">INDEX(Cities[Customer Type],RANDBETWEEN(1,3))</f>
        <v>VIP</v>
      </c>
    </row>
    <row r="35" spans="1:7" x14ac:dyDescent="0.3">
      <c r="A35" t="s">
        <v>207</v>
      </c>
      <c r="B35" t="str" cm="1">
        <f t="array" aca="1" ref="B35" ca="1">INDEX(FirstNames[First Name],RANDBETWEEN(1,30))&amp;" "&amp;INDEX(LastNames[Last Name],RANDBETWEEN(1,20))</f>
        <v>Deepika Reddy</v>
      </c>
      <c r="C35" t="str">
        <f ca="1">_xlfn.XLOOKUP(LEFT(Customers[[#This Row],[Customer Name]],FIND(" ",Customers[[#This Row],[Customer Name]])-1),FirstNames[First Name],FirstNames[Gender])</f>
        <v>Female</v>
      </c>
      <c r="D35">
        <f t="shared" ca="1" si="0"/>
        <v>42</v>
      </c>
      <c r="E35" t="str" cm="1">
        <f t="array" aca="1" ref="E35" ca="1">INDEX(Cities[City],RANDBETWEEN(1,10))</f>
        <v>Kolkata</v>
      </c>
      <c r="F35" t="str">
        <f ca="1">_xlfn.XLOOKUP(Customers[[#This Row],[City]],Cities[City],Cities[State])</f>
        <v>West Bengal</v>
      </c>
      <c r="G35" t="str" cm="1">
        <f t="array" aca="1" ref="G35" ca="1">INDEX(Cities[Customer Type],RANDBETWEEN(1,3))</f>
        <v>Premium</v>
      </c>
    </row>
    <row r="36" spans="1:7" x14ac:dyDescent="0.3">
      <c r="A36" t="s">
        <v>208</v>
      </c>
      <c r="B36" t="str" cm="1">
        <f t="array" aca="1" ref="B36" ca="1">INDEX(FirstNames[First Name],RANDBETWEEN(1,30))&amp;" "&amp;INDEX(LastNames[Last Name],RANDBETWEEN(1,20))</f>
        <v>Anjali Nair</v>
      </c>
      <c r="C36" t="str">
        <f ca="1">_xlfn.XLOOKUP(LEFT(Customers[[#This Row],[Customer Name]],FIND(" ",Customers[[#This Row],[Customer Name]])-1),FirstNames[First Name],FirstNames[Gender])</f>
        <v>Female</v>
      </c>
      <c r="D36">
        <f t="shared" ca="1" si="0"/>
        <v>42</v>
      </c>
      <c r="E36" t="str" cm="1">
        <f t="array" aca="1" ref="E36" ca="1">INDEX(Cities[City],RANDBETWEEN(1,10))</f>
        <v>Ahmedabad</v>
      </c>
      <c r="F36" t="str">
        <f ca="1">_xlfn.XLOOKUP(Customers[[#This Row],[City]],Cities[City],Cities[State])</f>
        <v>Gujarat</v>
      </c>
      <c r="G36" t="str" cm="1">
        <f t="array" aca="1" ref="G36" ca="1">INDEX(Cities[Customer Type],RANDBETWEEN(1,3))</f>
        <v>Regular</v>
      </c>
    </row>
    <row r="37" spans="1:7" x14ac:dyDescent="0.3">
      <c r="A37" t="s">
        <v>209</v>
      </c>
      <c r="B37" t="str" cm="1">
        <f t="array" aca="1" ref="B37" ca="1">INDEX(FirstNames[First Name],RANDBETWEEN(1,30))&amp;" "&amp;INDEX(LastNames[Last Name],RANDBETWEEN(1,20))</f>
        <v>Divya Nair</v>
      </c>
      <c r="C37" t="str">
        <f ca="1">_xlfn.XLOOKUP(LEFT(Customers[[#This Row],[Customer Name]],FIND(" ",Customers[[#This Row],[Customer Name]])-1),FirstNames[First Name],FirstNames[Gender])</f>
        <v>Female</v>
      </c>
      <c r="D37">
        <f t="shared" ca="1" si="0"/>
        <v>24</v>
      </c>
      <c r="E37" t="str" cm="1">
        <f t="array" aca="1" ref="E37" ca="1">INDEX(Cities[City],RANDBETWEEN(1,10))</f>
        <v>Lucknow</v>
      </c>
      <c r="F37" t="str">
        <f ca="1">_xlfn.XLOOKUP(Customers[[#This Row],[City]],Cities[City],Cities[State])</f>
        <v>Uttar Pradesh</v>
      </c>
      <c r="G37" t="str" cm="1">
        <f t="array" aca="1" ref="G37" ca="1">INDEX(Cities[Customer Type],RANDBETWEEN(1,3))</f>
        <v>VIP</v>
      </c>
    </row>
    <row r="38" spans="1:7" x14ac:dyDescent="0.3">
      <c r="A38" t="s">
        <v>210</v>
      </c>
      <c r="B38" t="str" cm="1">
        <f t="array" aca="1" ref="B38" ca="1">INDEX(FirstNames[First Name],RANDBETWEEN(1,30))&amp;" "&amp;INDEX(LastNames[Last Name],RANDBETWEEN(1,20))</f>
        <v>Rahul Yadav</v>
      </c>
      <c r="C38" t="str">
        <f ca="1">_xlfn.XLOOKUP(LEFT(Customers[[#This Row],[Customer Name]],FIND(" ",Customers[[#This Row],[Customer Name]])-1),FirstNames[First Name],FirstNames[Gender])</f>
        <v>Male</v>
      </c>
      <c r="D38">
        <f t="shared" ca="1" si="0"/>
        <v>34</v>
      </c>
      <c r="E38" t="str" cm="1">
        <f t="array" aca="1" ref="E38" ca="1">INDEX(Cities[City],RANDBETWEEN(1,10))</f>
        <v>Chennai</v>
      </c>
      <c r="F38" t="str">
        <f ca="1">_xlfn.XLOOKUP(Customers[[#This Row],[City]],Cities[City],Cities[State])</f>
        <v>Tamil Nadu</v>
      </c>
      <c r="G38" t="str" cm="1">
        <f t="array" aca="1" ref="G38" ca="1">INDEX(Cities[Customer Type],RANDBETWEEN(1,3))</f>
        <v>Premium</v>
      </c>
    </row>
    <row r="39" spans="1:7" x14ac:dyDescent="0.3">
      <c r="A39" t="s">
        <v>211</v>
      </c>
      <c r="B39" t="str" cm="1">
        <f t="array" aca="1" ref="B39" ca="1">INDEX(FirstNames[First Name],RANDBETWEEN(1,30))&amp;" "&amp;INDEX(LastNames[Last Name],RANDBETWEEN(1,20))</f>
        <v>Harini Menon</v>
      </c>
      <c r="C39" t="str">
        <f ca="1">_xlfn.XLOOKUP(LEFT(Customers[[#This Row],[Customer Name]],FIND(" ",Customers[[#This Row],[Customer Name]])-1),FirstNames[First Name],FirstNames[Gender])</f>
        <v>Female</v>
      </c>
      <c r="D39">
        <f t="shared" ca="1" si="0"/>
        <v>42</v>
      </c>
      <c r="E39" t="str" cm="1">
        <f t="array" aca="1" ref="E39" ca="1">INDEX(Cities[City],RANDBETWEEN(1,10))</f>
        <v>Mumbai</v>
      </c>
      <c r="F39" t="str">
        <f ca="1">_xlfn.XLOOKUP(Customers[[#This Row],[City]],Cities[City],Cities[State])</f>
        <v>Maharashtra</v>
      </c>
      <c r="G39" t="str" cm="1">
        <f t="array" aca="1" ref="G39" ca="1">INDEX(Cities[Customer Type],RANDBETWEEN(1,3))</f>
        <v>Regular</v>
      </c>
    </row>
    <row r="40" spans="1:7" x14ac:dyDescent="0.3">
      <c r="A40" t="s">
        <v>212</v>
      </c>
      <c r="B40" t="str" cm="1">
        <f t="array" aca="1" ref="B40" ca="1">INDEX(FirstNames[First Name],RANDBETWEEN(1,30))&amp;" "&amp;INDEX(LastNames[Last Name],RANDBETWEEN(1,20))</f>
        <v>Pooja Das</v>
      </c>
      <c r="C40" t="str">
        <f ca="1">_xlfn.XLOOKUP(LEFT(Customers[[#This Row],[Customer Name]],FIND(" ",Customers[[#This Row],[Customer Name]])-1),FirstNames[First Name],FirstNames[Gender])</f>
        <v>Female</v>
      </c>
      <c r="D40">
        <f t="shared" ca="1" si="0"/>
        <v>32</v>
      </c>
      <c r="E40" t="str" cm="1">
        <f t="array" aca="1" ref="E40" ca="1">INDEX(Cities[City],RANDBETWEEN(1,10))</f>
        <v>Mumbai</v>
      </c>
      <c r="F40" t="str">
        <f ca="1">_xlfn.XLOOKUP(Customers[[#This Row],[City]],Cities[City],Cities[State])</f>
        <v>Maharashtra</v>
      </c>
      <c r="G40" t="str" cm="1">
        <f t="array" aca="1" ref="G40" ca="1">INDEX(Cities[Customer Type],RANDBETWEEN(1,3))</f>
        <v>Premium</v>
      </c>
    </row>
    <row r="41" spans="1:7" x14ac:dyDescent="0.3">
      <c r="A41" t="s">
        <v>213</v>
      </c>
      <c r="B41" t="str" cm="1">
        <f t="array" aca="1" ref="B41" ca="1">INDEX(FirstNames[First Name],RANDBETWEEN(1,30))&amp;" "&amp;INDEX(LastNames[Last Name],RANDBETWEEN(1,20))</f>
        <v>Abinaya Ghosh</v>
      </c>
      <c r="C41" t="str">
        <f ca="1">_xlfn.XLOOKUP(LEFT(Customers[[#This Row],[Customer Name]],FIND(" ",Customers[[#This Row],[Customer Name]])-1),FirstNames[First Name],FirstNames[Gender])</f>
        <v>Female</v>
      </c>
      <c r="D41">
        <f t="shared" ca="1" si="0"/>
        <v>19</v>
      </c>
      <c r="E41" t="str" cm="1">
        <f t="array" aca="1" ref="E41" ca="1">INDEX(Cities[City],RANDBETWEEN(1,10))</f>
        <v>Ahmedabad</v>
      </c>
      <c r="F41" t="str">
        <f ca="1">_xlfn.XLOOKUP(Customers[[#This Row],[City]],Cities[City],Cities[State])</f>
        <v>Gujarat</v>
      </c>
      <c r="G41" t="str" cm="1">
        <f t="array" aca="1" ref="G41" ca="1">INDEX(Cities[Customer Type],RANDBETWEEN(1,3))</f>
        <v>Premium</v>
      </c>
    </row>
    <row r="42" spans="1:7" x14ac:dyDescent="0.3">
      <c r="A42" t="s">
        <v>214</v>
      </c>
      <c r="B42" t="str" cm="1">
        <f t="array" aca="1" ref="B42" ca="1">INDEX(FirstNames[First Name],RANDBETWEEN(1,30))&amp;" "&amp;INDEX(LastNames[Last Name],RANDBETWEEN(1,20))</f>
        <v>Nitin Khan</v>
      </c>
      <c r="C42" t="str">
        <f ca="1">_xlfn.XLOOKUP(LEFT(Customers[[#This Row],[Customer Name]],FIND(" ",Customers[[#This Row],[Customer Name]])-1),FirstNames[First Name],FirstNames[Gender])</f>
        <v>Male</v>
      </c>
      <c r="D42">
        <f t="shared" ca="1" si="0"/>
        <v>42</v>
      </c>
      <c r="E42" t="str" cm="1">
        <f t="array" aca="1" ref="E42" ca="1">INDEX(Cities[City],RANDBETWEEN(1,10))</f>
        <v>Lucknow</v>
      </c>
      <c r="F42" t="str">
        <f ca="1">_xlfn.XLOOKUP(Customers[[#This Row],[City]],Cities[City],Cities[State])</f>
        <v>Uttar Pradesh</v>
      </c>
      <c r="G42" t="str" cm="1">
        <f t="array" aca="1" ref="G42" ca="1">INDEX(Cities[Customer Type],RANDBETWEEN(1,3))</f>
        <v>Premium</v>
      </c>
    </row>
    <row r="43" spans="1:7" x14ac:dyDescent="0.3">
      <c r="A43" t="s">
        <v>215</v>
      </c>
      <c r="B43" t="str" cm="1">
        <f t="array" aca="1" ref="B43" ca="1">INDEX(FirstNames[First Name],RANDBETWEEN(1,30))&amp;" "&amp;INDEX(LastNames[Last Name],RANDBETWEEN(1,20))</f>
        <v>Suresh Das</v>
      </c>
      <c r="C43" t="str">
        <f ca="1">_xlfn.XLOOKUP(LEFT(Customers[[#This Row],[Customer Name]],FIND(" ",Customers[[#This Row],[Customer Name]])-1),FirstNames[First Name],FirstNames[Gender])</f>
        <v>Male</v>
      </c>
      <c r="D43">
        <f t="shared" ca="1" si="0"/>
        <v>59</v>
      </c>
      <c r="E43" t="str" cm="1">
        <f t="array" aca="1" ref="E43" ca="1">INDEX(Cities[City],RANDBETWEEN(1,10))</f>
        <v>Lucknow</v>
      </c>
      <c r="F43" t="str">
        <f ca="1">_xlfn.XLOOKUP(Customers[[#This Row],[City]],Cities[City],Cities[State])</f>
        <v>Uttar Pradesh</v>
      </c>
      <c r="G43" t="str" cm="1">
        <f t="array" aca="1" ref="G43" ca="1">INDEX(Cities[Customer Type],RANDBETWEEN(1,3))</f>
        <v>Premium</v>
      </c>
    </row>
    <row r="44" spans="1:7" x14ac:dyDescent="0.3">
      <c r="A44" t="s">
        <v>216</v>
      </c>
      <c r="B44" t="str" cm="1">
        <f t="array" aca="1" ref="B44" ca="1">INDEX(FirstNames[First Name],RANDBETWEEN(1,30))&amp;" "&amp;INDEX(LastNames[Last Name],RANDBETWEEN(1,20))</f>
        <v>Manish Rao</v>
      </c>
      <c r="C44" t="str">
        <f ca="1">_xlfn.XLOOKUP(LEFT(Customers[[#This Row],[Customer Name]],FIND(" ",Customers[[#This Row],[Customer Name]])-1),FirstNames[First Name],FirstNames[Gender])</f>
        <v>Male</v>
      </c>
      <c r="D44">
        <f t="shared" ca="1" si="0"/>
        <v>30</v>
      </c>
      <c r="E44" t="str" cm="1">
        <f t="array" aca="1" ref="E44" ca="1">INDEX(Cities[City],RANDBETWEEN(1,10))</f>
        <v>Bengaluru</v>
      </c>
      <c r="F44" t="str">
        <f ca="1">_xlfn.XLOOKUP(Customers[[#This Row],[City]],Cities[City],Cities[State])</f>
        <v>Karnataka</v>
      </c>
      <c r="G44" t="str" cm="1">
        <f t="array" aca="1" ref="G44" ca="1">INDEX(Cities[Customer Type],RANDBETWEEN(1,3))</f>
        <v>Premium</v>
      </c>
    </row>
    <row r="45" spans="1:7" x14ac:dyDescent="0.3">
      <c r="A45" t="s">
        <v>217</v>
      </c>
      <c r="B45" t="str" cm="1">
        <f t="array" aca="1" ref="B45" ca="1">INDEX(FirstNames[First Name],RANDBETWEEN(1,30))&amp;" "&amp;INDEX(LastNames[Last Name],RANDBETWEEN(1,20))</f>
        <v>Akash Menon</v>
      </c>
      <c r="C45" t="str">
        <f ca="1">_xlfn.XLOOKUP(LEFT(Customers[[#This Row],[Customer Name]],FIND(" ",Customers[[#This Row],[Customer Name]])-1),FirstNames[First Name],FirstNames[Gender])</f>
        <v>Male</v>
      </c>
      <c r="D45">
        <f t="shared" ca="1" si="0"/>
        <v>44</v>
      </c>
      <c r="E45" t="str" cm="1">
        <f t="array" aca="1" ref="E45" ca="1">INDEX(Cities[City],RANDBETWEEN(1,10))</f>
        <v>Hyderabad</v>
      </c>
      <c r="F45" t="str">
        <f ca="1">_xlfn.XLOOKUP(Customers[[#This Row],[City]],Cities[City],Cities[State])</f>
        <v>Telangana</v>
      </c>
      <c r="G45" t="str" cm="1">
        <f t="array" aca="1" ref="G45" ca="1">INDEX(Cities[Customer Type],RANDBETWEEN(1,3))</f>
        <v>Regular</v>
      </c>
    </row>
    <row r="46" spans="1:7" x14ac:dyDescent="0.3">
      <c r="A46" t="s">
        <v>218</v>
      </c>
      <c r="B46" t="str" cm="1">
        <f t="array" aca="1" ref="B46" ca="1">INDEX(FirstNames[First Name],RANDBETWEEN(1,30))&amp;" "&amp;INDEX(LastNames[Last Name],RANDBETWEEN(1,20))</f>
        <v>Manish Ghosh</v>
      </c>
      <c r="C46" t="str">
        <f ca="1">_xlfn.XLOOKUP(LEFT(Customers[[#This Row],[Customer Name]],FIND(" ",Customers[[#This Row],[Customer Name]])-1),FirstNames[First Name],FirstNames[Gender])</f>
        <v>Male</v>
      </c>
      <c r="D46">
        <f t="shared" ca="1" si="0"/>
        <v>59</v>
      </c>
      <c r="E46" t="str" cm="1">
        <f t="array" aca="1" ref="E46" ca="1">INDEX(Cities[City],RANDBETWEEN(1,10))</f>
        <v>Chennai</v>
      </c>
      <c r="F46" t="str">
        <f ca="1">_xlfn.XLOOKUP(Customers[[#This Row],[City]],Cities[City],Cities[State])</f>
        <v>Tamil Nadu</v>
      </c>
      <c r="G46" t="str" cm="1">
        <f t="array" aca="1" ref="G46" ca="1">INDEX(Cities[Customer Type],RANDBETWEEN(1,3))</f>
        <v>Premium</v>
      </c>
    </row>
    <row r="47" spans="1:7" x14ac:dyDescent="0.3">
      <c r="A47" t="s">
        <v>219</v>
      </c>
      <c r="B47" t="str" cm="1">
        <f t="array" aca="1" ref="B47" ca="1">INDEX(FirstNames[First Name],RANDBETWEEN(1,30))&amp;" "&amp;INDEX(LastNames[Last Name],RANDBETWEEN(1,20))</f>
        <v>Suresh Nair</v>
      </c>
      <c r="C47" t="str">
        <f ca="1">_xlfn.XLOOKUP(LEFT(Customers[[#This Row],[Customer Name]],FIND(" ",Customers[[#This Row],[Customer Name]])-1),FirstNames[First Name],FirstNames[Gender])</f>
        <v>Male</v>
      </c>
      <c r="D47">
        <f t="shared" ca="1" si="0"/>
        <v>45</v>
      </c>
      <c r="E47" t="str" cm="1">
        <f t="array" aca="1" ref="E47" ca="1">INDEX(Cities[City],RANDBETWEEN(1,10))</f>
        <v>Mumbai</v>
      </c>
      <c r="F47" t="str">
        <f ca="1">_xlfn.XLOOKUP(Customers[[#This Row],[City]],Cities[City],Cities[State])</f>
        <v>Maharashtra</v>
      </c>
      <c r="G47" t="str" cm="1">
        <f t="array" aca="1" ref="G47" ca="1">INDEX(Cities[Customer Type],RANDBETWEEN(1,3))</f>
        <v>Regular</v>
      </c>
    </row>
    <row r="48" spans="1:7" x14ac:dyDescent="0.3">
      <c r="A48" t="s">
        <v>220</v>
      </c>
      <c r="B48" t="str" cm="1">
        <f t="array" aca="1" ref="B48" ca="1">INDEX(FirstNames[First Name],RANDBETWEEN(1,30))&amp;" "&amp;INDEX(LastNames[Last Name],RANDBETWEEN(1,20))</f>
        <v>Priya Reddy</v>
      </c>
      <c r="C48" t="str">
        <f ca="1">_xlfn.XLOOKUP(LEFT(Customers[[#This Row],[Customer Name]],FIND(" ",Customers[[#This Row],[Customer Name]])-1),FirstNames[First Name],FirstNames[Gender])</f>
        <v>Female</v>
      </c>
      <c r="D48">
        <f t="shared" ca="1" si="0"/>
        <v>58</v>
      </c>
      <c r="E48" t="str" cm="1">
        <f t="array" aca="1" ref="E48" ca="1">INDEX(Cities[City],RANDBETWEEN(1,10))</f>
        <v>Mumbai</v>
      </c>
      <c r="F48" t="str">
        <f ca="1">_xlfn.XLOOKUP(Customers[[#This Row],[City]],Cities[City],Cities[State])</f>
        <v>Maharashtra</v>
      </c>
      <c r="G48" t="str" cm="1">
        <f t="array" aca="1" ref="G48" ca="1">INDEX(Cities[Customer Type],RANDBETWEEN(1,3))</f>
        <v>VIP</v>
      </c>
    </row>
    <row r="49" spans="1:7" x14ac:dyDescent="0.3">
      <c r="A49" t="s">
        <v>221</v>
      </c>
      <c r="B49" t="str" cm="1">
        <f t="array" aca="1" ref="B49" ca="1">INDEX(FirstNames[First Name],RANDBETWEEN(1,30))&amp;" "&amp;INDEX(LastNames[Last Name],RANDBETWEEN(1,20))</f>
        <v>Aarav Patel</v>
      </c>
      <c r="C49" t="str">
        <f ca="1">_xlfn.XLOOKUP(LEFT(Customers[[#This Row],[Customer Name]],FIND(" ",Customers[[#This Row],[Customer Name]])-1),FirstNames[First Name],FirstNames[Gender])</f>
        <v>Male</v>
      </c>
      <c r="D49">
        <f t="shared" ca="1" si="0"/>
        <v>36</v>
      </c>
      <c r="E49" t="str" cm="1">
        <f t="array" aca="1" ref="E49" ca="1">INDEX(Cities[City],RANDBETWEEN(1,10))</f>
        <v>Kochi</v>
      </c>
      <c r="F49" t="str">
        <f ca="1">_xlfn.XLOOKUP(Customers[[#This Row],[City]],Cities[City],Cities[State])</f>
        <v>Kerala</v>
      </c>
      <c r="G49" t="str" cm="1">
        <f t="array" aca="1" ref="G49" ca="1">INDEX(Cities[Customer Type],RANDBETWEEN(1,3))</f>
        <v>Regular</v>
      </c>
    </row>
    <row r="50" spans="1:7" x14ac:dyDescent="0.3">
      <c r="A50" t="s">
        <v>222</v>
      </c>
      <c r="B50" t="str" cm="1">
        <f t="array" aca="1" ref="B50" ca="1">INDEX(FirstNames[First Name],RANDBETWEEN(1,30))&amp;" "&amp;INDEX(LastNames[Last Name],RANDBETWEEN(1,20))</f>
        <v>Rohan Verma</v>
      </c>
      <c r="C50" t="str">
        <f ca="1">_xlfn.XLOOKUP(LEFT(Customers[[#This Row],[Customer Name]],FIND(" ",Customers[[#This Row],[Customer Name]])-1),FirstNames[First Name],FirstNames[Gender])</f>
        <v>Male</v>
      </c>
      <c r="D50">
        <f t="shared" ca="1" si="0"/>
        <v>58</v>
      </c>
      <c r="E50" t="str" cm="1">
        <f t="array" aca="1" ref="E50" ca="1">INDEX(Cities[City],RANDBETWEEN(1,10))</f>
        <v>Chennai</v>
      </c>
      <c r="F50" t="str">
        <f ca="1">_xlfn.XLOOKUP(Customers[[#This Row],[City]],Cities[City],Cities[State])</f>
        <v>Tamil Nadu</v>
      </c>
      <c r="G50" t="str" cm="1">
        <f t="array" aca="1" ref="G50" ca="1">INDEX(Cities[Customer Type],RANDBETWEEN(1,3))</f>
        <v>VIP</v>
      </c>
    </row>
    <row r="51" spans="1:7" x14ac:dyDescent="0.3">
      <c r="A51" t="s">
        <v>223</v>
      </c>
      <c r="B51" t="str" cm="1">
        <f t="array" aca="1" ref="B51" ca="1">INDEX(FirstNames[First Name],RANDBETWEEN(1,30))&amp;" "&amp;INDEX(LastNames[Last Name],RANDBETWEEN(1,20))</f>
        <v>Pooja Kapoor</v>
      </c>
      <c r="C51" t="str">
        <f ca="1">_xlfn.XLOOKUP(LEFT(Customers[[#This Row],[Customer Name]],FIND(" ",Customers[[#This Row],[Customer Name]])-1),FirstNames[First Name],FirstNames[Gender])</f>
        <v>Female</v>
      </c>
      <c r="D51">
        <f t="shared" ca="1" si="0"/>
        <v>45</v>
      </c>
      <c r="E51" t="str" cm="1">
        <f t="array" aca="1" ref="E51" ca="1">INDEX(Cities[City],RANDBETWEEN(1,10))</f>
        <v>Kochi</v>
      </c>
      <c r="F51" t="str">
        <f ca="1">_xlfn.XLOOKUP(Customers[[#This Row],[City]],Cities[City],Cities[State])</f>
        <v>Kerala</v>
      </c>
      <c r="G51" t="str" cm="1">
        <f t="array" aca="1" ref="G51" ca="1">INDEX(Cities[Customer Type],RANDBETWEEN(1,3))</f>
        <v>VIP</v>
      </c>
    </row>
    <row r="52" spans="1:7" x14ac:dyDescent="0.3">
      <c r="A52" t="s">
        <v>224</v>
      </c>
      <c r="B52" t="str" cm="1">
        <f t="array" aca="1" ref="B52" ca="1">INDEX(FirstNames[First Name],RANDBETWEEN(1,30))&amp;" "&amp;INDEX(LastNames[Last Name],RANDBETWEEN(1,20))</f>
        <v>Anjali Sharma</v>
      </c>
      <c r="C52" t="str">
        <f ca="1">_xlfn.XLOOKUP(LEFT(Customers[[#This Row],[Customer Name]],FIND(" ",Customers[[#This Row],[Customer Name]])-1),FirstNames[First Name],FirstNames[Gender])</f>
        <v>Female</v>
      </c>
      <c r="D52">
        <f t="shared" ca="1" si="0"/>
        <v>29</v>
      </c>
      <c r="E52" t="str" cm="1">
        <f t="array" aca="1" ref="E52" ca="1">INDEX(Cities[City],RANDBETWEEN(1,10))</f>
        <v>Kochi</v>
      </c>
      <c r="F52" t="str">
        <f ca="1">_xlfn.XLOOKUP(Customers[[#This Row],[City]],Cities[City],Cities[State])</f>
        <v>Kerala</v>
      </c>
      <c r="G52" t="str" cm="1">
        <f t="array" aca="1" ref="G52" ca="1">INDEX(Cities[Customer Type],RANDBETWEEN(1,3))</f>
        <v>Regular</v>
      </c>
    </row>
    <row r="53" spans="1:7" x14ac:dyDescent="0.3">
      <c r="A53" t="s">
        <v>225</v>
      </c>
      <c r="B53" t="str" cm="1">
        <f t="array" aca="1" ref="B53" ca="1">INDEX(FirstNames[First Name],RANDBETWEEN(1,30))&amp;" "&amp;INDEX(LastNames[Last Name],RANDBETWEEN(1,20))</f>
        <v>Manish Kumar</v>
      </c>
      <c r="C53" t="str">
        <f ca="1">_xlfn.XLOOKUP(LEFT(Customers[[#This Row],[Customer Name]],FIND(" ",Customers[[#This Row],[Customer Name]])-1),FirstNames[First Name],FirstNames[Gender])</f>
        <v>Male</v>
      </c>
      <c r="D53">
        <f t="shared" ca="1" si="0"/>
        <v>34</v>
      </c>
      <c r="E53" t="str" cm="1">
        <f t="array" aca="1" ref="E53" ca="1">INDEX(Cities[City],RANDBETWEEN(1,10))</f>
        <v>Mumbai</v>
      </c>
      <c r="F53" t="str">
        <f ca="1">_xlfn.XLOOKUP(Customers[[#This Row],[City]],Cities[City],Cities[State])</f>
        <v>Maharashtra</v>
      </c>
      <c r="G53" t="str" cm="1">
        <f t="array" aca="1" ref="G53" ca="1">INDEX(Cities[Customer Type],RANDBETWEEN(1,3))</f>
        <v>Premium</v>
      </c>
    </row>
    <row r="54" spans="1:7" x14ac:dyDescent="0.3">
      <c r="A54" t="s">
        <v>226</v>
      </c>
      <c r="B54" t="str" cm="1">
        <f t="array" aca="1" ref="B54" ca="1">INDEX(FirstNames[First Name],RANDBETWEEN(1,30))&amp;" "&amp;INDEX(LastNames[Last Name],RANDBETWEEN(1,20))</f>
        <v>Keerthana Kumar</v>
      </c>
      <c r="C54" t="str">
        <f ca="1">_xlfn.XLOOKUP(LEFT(Customers[[#This Row],[Customer Name]],FIND(" ",Customers[[#This Row],[Customer Name]])-1),FirstNames[First Name],FirstNames[Gender])</f>
        <v>Female</v>
      </c>
      <c r="D54">
        <f t="shared" ca="1" si="0"/>
        <v>50</v>
      </c>
      <c r="E54" t="str" cm="1">
        <f t="array" aca="1" ref="E54" ca="1">INDEX(Cities[City],RANDBETWEEN(1,10))</f>
        <v>Jaipur</v>
      </c>
      <c r="F54" t="str">
        <f ca="1">_xlfn.XLOOKUP(Customers[[#This Row],[City]],Cities[City],Cities[State])</f>
        <v>Rajasthan</v>
      </c>
      <c r="G54" t="str" cm="1">
        <f t="array" aca="1" ref="G54" ca="1">INDEX(Cities[Customer Type],RANDBETWEEN(1,3))</f>
        <v>VIP</v>
      </c>
    </row>
    <row r="55" spans="1:7" x14ac:dyDescent="0.3">
      <c r="A55" t="s">
        <v>227</v>
      </c>
      <c r="B55" t="str" cm="1">
        <f t="array" aca="1" ref="B55" ca="1">INDEX(FirstNames[First Name],RANDBETWEEN(1,30))&amp;" "&amp;INDEX(LastNames[Last Name],RANDBETWEEN(1,20))</f>
        <v>Pooja Yadav</v>
      </c>
      <c r="C55" t="str">
        <f ca="1">_xlfn.XLOOKUP(LEFT(Customers[[#This Row],[Customer Name]],FIND(" ",Customers[[#This Row],[Customer Name]])-1),FirstNames[First Name],FirstNames[Gender])</f>
        <v>Female</v>
      </c>
      <c r="D55">
        <f t="shared" ca="1" si="0"/>
        <v>45</v>
      </c>
      <c r="E55" t="str" cm="1">
        <f t="array" aca="1" ref="E55" ca="1">INDEX(Cities[City],RANDBETWEEN(1,10))</f>
        <v>Chennai</v>
      </c>
      <c r="F55" t="str">
        <f ca="1">_xlfn.XLOOKUP(Customers[[#This Row],[City]],Cities[City],Cities[State])</f>
        <v>Tamil Nadu</v>
      </c>
      <c r="G55" t="str" cm="1">
        <f t="array" aca="1" ref="G55" ca="1">INDEX(Cities[Customer Type],RANDBETWEEN(1,3))</f>
        <v>Premium</v>
      </c>
    </row>
    <row r="56" spans="1:7" x14ac:dyDescent="0.3">
      <c r="A56" t="s">
        <v>228</v>
      </c>
      <c r="B56" t="str" cm="1">
        <f t="array" aca="1" ref="B56" ca="1">INDEX(FirstNames[First Name],RANDBETWEEN(1,30))&amp;" "&amp;INDEX(LastNames[Last Name],RANDBETWEEN(1,20))</f>
        <v>Vikram Singh</v>
      </c>
      <c r="C56" t="str">
        <f ca="1">_xlfn.XLOOKUP(LEFT(Customers[[#This Row],[Customer Name]],FIND(" ",Customers[[#This Row],[Customer Name]])-1),FirstNames[First Name],FirstNames[Gender])</f>
        <v>Male</v>
      </c>
      <c r="D56">
        <f t="shared" ca="1" si="0"/>
        <v>25</v>
      </c>
      <c r="E56" t="str" cm="1">
        <f t="array" aca="1" ref="E56" ca="1">INDEX(Cities[City],RANDBETWEEN(1,10))</f>
        <v>Lucknow</v>
      </c>
      <c r="F56" t="str">
        <f ca="1">_xlfn.XLOOKUP(Customers[[#This Row],[City]],Cities[City],Cities[State])</f>
        <v>Uttar Pradesh</v>
      </c>
      <c r="G56" t="str" cm="1">
        <f t="array" aca="1" ref="G56" ca="1">INDEX(Cities[Customer Type],RANDBETWEEN(1,3))</f>
        <v>Premium</v>
      </c>
    </row>
    <row r="57" spans="1:7" x14ac:dyDescent="0.3">
      <c r="A57" t="s">
        <v>229</v>
      </c>
      <c r="B57" t="str" cm="1">
        <f t="array" aca="1" ref="B57" ca="1">INDEX(FirstNames[First Name],RANDBETWEEN(1,30))&amp;" "&amp;INDEX(LastNames[Last Name],RANDBETWEEN(1,20))</f>
        <v>Sneha Reddy</v>
      </c>
      <c r="C57" t="str">
        <f ca="1">_xlfn.XLOOKUP(LEFT(Customers[[#This Row],[Customer Name]],FIND(" ",Customers[[#This Row],[Customer Name]])-1),FirstNames[First Name],FirstNames[Gender])</f>
        <v>Female</v>
      </c>
      <c r="D57">
        <f t="shared" ca="1" si="0"/>
        <v>53</v>
      </c>
      <c r="E57" t="str" cm="1">
        <f t="array" aca="1" ref="E57" ca="1">INDEX(Cities[City],RANDBETWEEN(1,10))</f>
        <v>Pune</v>
      </c>
      <c r="F57" t="str">
        <f ca="1">_xlfn.XLOOKUP(Customers[[#This Row],[City]],Cities[City],Cities[State])</f>
        <v>Maharashtra</v>
      </c>
      <c r="G57" t="str" cm="1">
        <f t="array" aca="1" ref="G57" ca="1">INDEX(Cities[Customer Type],RANDBETWEEN(1,3))</f>
        <v>Premium</v>
      </c>
    </row>
    <row r="58" spans="1:7" x14ac:dyDescent="0.3">
      <c r="A58" t="s">
        <v>230</v>
      </c>
      <c r="B58" t="str" cm="1">
        <f t="array" aca="1" ref="B58" ca="1">INDEX(FirstNames[First Name],RANDBETWEEN(1,30))&amp;" "&amp;INDEX(LastNames[Last Name],RANDBETWEEN(1,20))</f>
        <v>Rahul Nair</v>
      </c>
      <c r="C58" t="str">
        <f ca="1">_xlfn.XLOOKUP(LEFT(Customers[[#This Row],[Customer Name]],FIND(" ",Customers[[#This Row],[Customer Name]])-1),FirstNames[First Name],FirstNames[Gender])</f>
        <v>Male</v>
      </c>
      <c r="D58">
        <f t="shared" ca="1" si="0"/>
        <v>29</v>
      </c>
      <c r="E58" t="str" cm="1">
        <f t="array" aca="1" ref="E58" ca="1">INDEX(Cities[City],RANDBETWEEN(1,10))</f>
        <v>Pune</v>
      </c>
      <c r="F58" t="str">
        <f ca="1">_xlfn.XLOOKUP(Customers[[#This Row],[City]],Cities[City],Cities[State])</f>
        <v>Maharashtra</v>
      </c>
      <c r="G58" t="str" cm="1">
        <f t="array" aca="1" ref="G58" ca="1">INDEX(Cities[Customer Type],RANDBETWEEN(1,3))</f>
        <v>Premium</v>
      </c>
    </row>
    <row r="59" spans="1:7" x14ac:dyDescent="0.3">
      <c r="A59" t="s">
        <v>231</v>
      </c>
      <c r="B59" t="str" cm="1">
        <f t="array" aca="1" ref="B59" ca="1">INDEX(FirstNames[First Name],RANDBETWEEN(1,30))&amp;" "&amp;INDEX(LastNames[Last Name],RANDBETWEEN(1,20))</f>
        <v>Harini Rao</v>
      </c>
      <c r="C59" t="str">
        <f ca="1">_xlfn.XLOOKUP(LEFT(Customers[[#This Row],[Customer Name]],FIND(" ",Customers[[#This Row],[Customer Name]])-1),FirstNames[First Name],FirstNames[Gender])</f>
        <v>Female</v>
      </c>
      <c r="D59">
        <f t="shared" ca="1" si="0"/>
        <v>49</v>
      </c>
      <c r="E59" t="str" cm="1">
        <f t="array" aca="1" ref="E59" ca="1">INDEX(Cities[City],RANDBETWEEN(1,10))</f>
        <v>Kochi</v>
      </c>
      <c r="F59" t="str">
        <f ca="1">_xlfn.XLOOKUP(Customers[[#This Row],[City]],Cities[City],Cities[State])</f>
        <v>Kerala</v>
      </c>
      <c r="G59" t="str" cm="1">
        <f t="array" aca="1" ref="G59" ca="1">INDEX(Cities[Customer Type],RANDBETWEEN(1,3))</f>
        <v>VIP</v>
      </c>
    </row>
    <row r="60" spans="1:7" x14ac:dyDescent="0.3">
      <c r="A60" t="s">
        <v>232</v>
      </c>
      <c r="B60" t="str" cm="1">
        <f t="array" aca="1" ref="B60" ca="1">INDEX(FirstNames[First Name],RANDBETWEEN(1,30))&amp;" "&amp;INDEX(LastNames[Last Name],RANDBETWEEN(1,20))</f>
        <v>Neha Ghosh</v>
      </c>
      <c r="C60" t="str">
        <f ca="1">_xlfn.XLOOKUP(LEFT(Customers[[#This Row],[Customer Name]],FIND(" ",Customers[[#This Row],[Customer Name]])-1),FirstNames[First Name],FirstNames[Gender])</f>
        <v>Female</v>
      </c>
      <c r="D60">
        <f t="shared" ca="1" si="0"/>
        <v>47</v>
      </c>
      <c r="E60" t="str" cm="1">
        <f t="array" aca="1" ref="E60" ca="1">INDEX(Cities[City],RANDBETWEEN(1,10))</f>
        <v>Pune</v>
      </c>
      <c r="F60" t="str">
        <f ca="1">_xlfn.XLOOKUP(Customers[[#This Row],[City]],Cities[City],Cities[State])</f>
        <v>Maharashtra</v>
      </c>
      <c r="G60" t="str" cm="1">
        <f t="array" aca="1" ref="G60" ca="1">INDEX(Cities[Customer Type],RANDBETWEEN(1,3))</f>
        <v>Regular</v>
      </c>
    </row>
    <row r="61" spans="1:7" x14ac:dyDescent="0.3">
      <c r="A61" t="s">
        <v>233</v>
      </c>
      <c r="B61" t="str" cm="1">
        <f t="array" aca="1" ref="B61" ca="1">INDEX(FirstNames[First Name],RANDBETWEEN(1,30))&amp;" "&amp;INDEX(LastNames[Last Name],RANDBETWEEN(1,20))</f>
        <v>Varun Khan</v>
      </c>
      <c r="C61" t="str">
        <f ca="1">_xlfn.XLOOKUP(LEFT(Customers[[#This Row],[Customer Name]],FIND(" ",Customers[[#This Row],[Customer Name]])-1),FirstNames[First Name],FirstNames[Gender])</f>
        <v>Male</v>
      </c>
      <c r="D61">
        <f t="shared" ca="1" si="0"/>
        <v>48</v>
      </c>
      <c r="E61" t="str" cm="1">
        <f t="array" aca="1" ref="E61" ca="1">INDEX(Cities[City],RANDBETWEEN(1,10))</f>
        <v>Ahmedabad</v>
      </c>
      <c r="F61" t="str">
        <f ca="1">_xlfn.XLOOKUP(Customers[[#This Row],[City]],Cities[City],Cities[State])</f>
        <v>Gujarat</v>
      </c>
      <c r="G61" t="str" cm="1">
        <f t="array" aca="1" ref="G61" ca="1">INDEX(Cities[Customer Type],RANDBETWEEN(1,3))</f>
        <v>VIP</v>
      </c>
    </row>
    <row r="62" spans="1:7" x14ac:dyDescent="0.3">
      <c r="A62" t="s">
        <v>234</v>
      </c>
      <c r="B62" t="str" cm="1">
        <f t="array" aca="1" ref="B62" ca="1">INDEX(FirstNames[First Name],RANDBETWEEN(1,30))&amp;" "&amp;INDEX(LastNames[Last Name],RANDBETWEEN(1,20))</f>
        <v>Aarav Mehta</v>
      </c>
      <c r="C62" t="str">
        <f ca="1">_xlfn.XLOOKUP(LEFT(Customers[[#This Row],[Customer Name]],FIND(" ",Customers[[#This Row],[Customer Name]])-1),FirstNames[First Name],FirstNames[Gender])</f>
        <v>Male</v>
      </c>
      <c r="D62">
        <f t="shared" ca="1" si="0"/>
        <v>60</v>
      </c>
      <c r="E62" t="str" cm="1">
        <f t="array" aca="1" ref="E62" ca="1">INDEX(Cities[City],RANDBETWEEN(1,10))</f>
        <v>Chennai</v>
      </c>
      <c r="F62" t="str">
        <f ca="1">_xlfn.XLOOKUP(Customers[[#This Row],[City]],Cities[City],Cities[State])</f>
        <v>Tamil Nadu</v>
      </c>
      <c r="G62" t="str" cm="1">
        <f t="array" aca="1" ref="G62" ca="1">INDEX(Cities[Customer Type],RANDBETWEEN(1,3))</f>
        <v>Premium</v>
      </c>
    </row>
    <row r="63" spans="1:7" x14ac:dyDescent="0.3">
      <c r="A63" t="s">
        <v>235</v>
      </c>
      <c r="B63" t="str" cm="1">
        <f t="array" aca="1" ref="B63" ca="1">INDEX(FirstNames[First Name],RANDBETWEEN(1,30))&amp;" "&amp;INDEX(LastNames[Last Name],RANDBETWEEN(1,20))</f>
        <v>Vikram Reddy</v>
      </c>
      <c r="C63" t="str">
        <f ca="1">_xlfn.XLOOKUP(LEFT(Customers[[#This Row],[Customer Name]],FIND(" ",Customers[[#This Row],[Customer Name]])-1),FirstNames[First Name],FirstNames[Gender])</f>
        <v>Male</v>
      </c>
      <c r="D63">
        <f t="shared" ca="1" si="0"/>
        <v>56</v>
      </c>
      <c r="E63" t="str" cm="1">
        <f t="array" aca="1" ref="E63" ca="1">INDEX(Cities[City],RANDBETWEEN(1,10))</f>
        <v>Bengaluru</v>
      </c>
      <c r="F63" t="str">
        <f ca="1">_xlfn.XLOOKUP(Customers[[#This Row],[City]],Cities[City],Cities[State])</f>
        <v>Karnataka</v>
      </c>
      <c r="G63" t="str" cm="1">
        <f t="array" aca="1" ref="G63" ca="1">INDEX(Cities[Customer Type],RANDBETWEEN(1,3))</f>
        <v>VIP</v>
      </c>
    </row>
    <row r="64" spans="1:7" x14ac:dyDescent="0.3">
      <c r="A64" t="s">
        <v>236</v>
      </c>
      <c r="B64" t="str" cm="1">
        <f t="array" aca="1" ref="B64" ca="1">INDEX(FirstNames[First Name],RANDBETWEEN(1,30))&amp;" "&amp;INDEX(LastNames[Last Name],RANDBETWEEN(1,20))</f>
        <v>Keerthana Reddy</v>
      </c>
      <c r="C64" t="str">
        <f ca="1">_xlfn.XLOOKUP(LEFT(Customers[[#This Row],[Customer Name]],FIND(" ",Customers[[#This Row],[Customer Name]])-1),FirstNames[First Name],FirstNames[Gender])</f>
        <v>Female</v>
      </c>
      <c r="D64">
        <f t="shared" ca="1" si="0"/>
        <v>58</v>
      </c>
      <c r="E64" t="str" cm="1">
        <f t="array" aca="1" ref="E64" ca="1">INDEX(Cities[City],RANDBETWEEN(1,10))</f>
        <v>Kolkata</v>
      </c>
      <c r="F64" t="str">
        <f ca="1">_xlfn.XLOOKUP(Customers[[#This Row],[City]],Cities[City],Cities[State])</f>
        <v>West Bengal</v>
      </c>
      <c r="G64" t="str" cm="1">
        <f t="array" aca="1" ref="G64" ca="1">INDEX(Cities[Customer Type],RANDBETWEEN(1,3))</f>
        <v>Premium</v>
      </c>
    </row>
    <row r="65" spans="1:7" x14ac:dyDescent="0.3">
      <c r="A65" t="s">
        <v>237</v>
      </c>
      <c r="B65" t="str" cm="1">
        <f t="array" aca="1" ref="B65" ca="1">INDEX(FirstNames[First Name],RANDBETWEEN(1,30))&amp;" "&amp;INDEX(LastNames[Last Name],RANDBETWEEN(1,20))</f>
        <v>Varun Yadav</v>
      </c>
      <c r="C65" t="str">
        <f ca="1">_xlfn.XLOOKUP(LEFT(Customers[[#This Row],[Customer Name]],FIND(" ",Customers[[#This Row],[Customer Name]])-1),FirstNames[First Name],FirstNames[Gender])</f>
        <v>Male</v>
      </c>
      <c r="D65">
        <f t="shared" ca="1" si="0"/>
        <v>50</v>
      </c>
      <c r="E65" t="str" cm="1">
        <f t="array" aca="1" ref="E65" ca="1">INDEX(Cities[City],RANDBETWEEN(1,10))</f>
        <v>Kolkata</v>
      </c>
      <c r="F65" t="str">
        <f ca="1">_xlfn.XLOOKUP(Customers[[#This Row],[City]],Cities[City],Cities[State])</f>
        <v>West Bengal</v>
      </c>
      <c r="G65" t="str" cm="1">
        <f t="array" aca="1" ref="G65" ca="1">INDEX(Cities[Customer Type],RANDBETWEEN(1,3))</f>
        <v>VIP</v>
      </c>
    </row>
    <row r="66" spans="1:7" x14ac:dyDescent="0.3">
      <c r="A66" t="s">
        <v>238</v>
      </c>
      <c r="B66" t="str" cm="1">
        <f t="array" aca="1" ref="B66" ca="1">INDEX(FirstNames[First Name],RANDBETWEEN(1,30))&amp;" "&amp;INDEX(LastNames[Last Name],RANDBETWEEN(1,20))</f>
        <v>Ananya Verma</v>
      </c>
      <c r="C66" t="str">
        <f ca="1">_xlfn.XLOOKUP(LEFT(Customers[[#This Row],[Customer Name]],FIND(" ",Customers[[#This Row],[Customer Name]])-1),FirstNames[First Name],FirstNames[Gender])</f>
        <v>Female</v>
      </c>
      <c r="D66">
        <f t="shared" ca="1" si="0"/>
        <v>27</v>
      </c>
      <c r="E66" t="str" cm="1">
        <f t="array" aca="1" ref="E66" ca="1">INDEX(Cities[City],RANDBETWEEN(1,10))</f>
        <v>Hyderabad</v>
      </c>
      <c r="F66" t="str">
        <f ca="1">_xlfn.XLOOKUP(Customers[[#This Row],[City]],Cities[City],Cities[State])</f>
        <v>Telangana</v>
      </c>
      <c r="G66" t="str" cm="1">
        <f t="array" aca="1" ref="G66" ca="1">INDEX(Cities[Customer Type],RANDBETWEEN(1,3))</f>
        <v>Regular</v>
      </c>
    </row>
    <row r="67" spans="1:7" x14ac:dyDescent="0.3">
      <c r="A67" t="s">
        <v>239</v>
      </c>
      <c r="B67" t="str" cm="1">
        <f t="array" aca="1" ref="B67" ca="1">INDEX(FirstNames[First Name],RANDBETWEEN(1,30))&amp;" "&amp;INDEX(LastNames[Last Name],RANDBETWEEN(1,20))</f>
        <v>Rohan Verma</v>
      </c>
      <c r="C67" t="str">
        <f ca="1">_xlfn.XLOOKUP(LEFT(Customers[[#This Row],[Customer Name]],FIND(" ",Customers[[#This Row],[Customer Name]])-1),FirstNames[First Name],FirstNames[Gender])</f>
        <v>Male</v>
      </c>
      <c r="D67">
        <f t="shared" ca="1" si="0"/>
        <v>55</v>
      </c>
      <c r="E67" t="str" cm="1">
        <f t="array" aca="1" ref="E67" ca="1">INDEX(Cities[City],RANDBETWEEN(1,10))</f>
        <v>Hyderabad</v>
      </c>
      <c r="F67" t="str">
        <f ca="1">_xlfn.XLOOKUP(Customers[[#This Row],[City]],Cities[City],Cities[State])</f>
        <v>Telangana</v>
      </c>
      <c r="G67" t="str" cm="1">
        <f t="array" aca="1" ref="G67" ca="1">INDEX(Cities[Customer Type],RANDBETWEEN(1,3))</f>
        <v>VIP</v>
      </c>
    </row>
    <row r="68" spans="1:7" x14ac:dyDescent="0.3">
      <c r="A68" t="s">
        <v>240</v>
      </c>
      <c r="B68" t="str" cm="1">
        <f t="array" aca="1" ref="B68" ca="1">INDEX(FirstNames[First Name],RANDBETWEEN(1,30))&amp;" "&amp;INDEX(LastNames[Last Name],RANDBETWEEN(1,20))</f>
        <v>Shreya Malhotra</v>
      </c>
      <c r="C68" t="str">
        <f ca="1">_xlfn.XLOOKUP(LEFT(Customers[[#This Row],[Customer Name]],FIND(" ",Customers[[#This Row],[Customer Name]])-1),FirstNames[First Name],FirstNames[Gender])</f>
        <v>Female</v>
      </c>
      <c r="D68">
        <f t="shared" ca="1" si="0"/>
        <v>51</v>
      </c>
      <c r="E68" t="str" cm="1">
        <f t="array" aca="1" ref="E68" ca="1">INDEX(Cities[City],RANDBETWEEN(1,10))</f>
        <v>Bengaluru</v>
      </c>
      <c r="F68" t="str">
        <f ca="1">_xlfn.XLOOKUP(Customers[[#This Row],[City]],Cities[City],Cities[State])</f>
        <v>Karnataka</v>
      </c>
      <c r="G68" t="str" cm="1">
        <f t="array" aca="1" ref="G68" ca="1">INDEX(Cities[Customer Type],RANDBETWEEN(1,3))</f>
        <v>Premium</v>
      </c>
    </row>
    <row r="69" spans="1:7" x14ac:dyDescent="0.3">
      <c r="A69" t="s">
        <v>241</v>
      </c>
      <c r="B69" t="str" cm="1">
        <f t="array" aca="1" ref="B69" ca="1">INDEX(FirstNames[First Name],RANDBETWEEN(1,30))&amp;" "&amp;INDEX(LastNames[Last Name],RANDBETWEEN(1,20))</f>
        <v>Divya Mehta</v>
      </c>
      <c r="C69" t="str">
        <f ca="1">_xlfn.XLOOKUP(LEFT(Customers[[#This Row],[Customer Name]],FIND(" ",Customers[[#This Row],[Customer Name]])-1),FirstNames[First Name],FirstNames[Gender])</f>
        <v>Female</v>
      </c>
      <c r="D69">
        <f t="shared" ca="1" si="0"/>
        <v>55</v>
      </c>
      <c r="E69" t="str" cm="1">
        <f t="array" aca="1" ref="E69" ca="1">INDEX(Cities[City],RANDBETWEEN(1,10))</f>
        <v>Kochi</v>
      </c>
      <c r="F69" t="str">
        <f ca="1">_xlfn.XLOOKUP(Customers[[#This Row],[City]],Cities[City],Cities[State])</f>
        <v>Kerala</v>
      </c>
      <c r="G69" t="str" cm="1">
        <f t="array" aca="1" ref="G69" ca="1">INDEX(Cities[Customer Type],RANDBETWEEN(1,3))</f>
        <v>Premium</v>
      </c>
    </row>
    <row r="70" spans="1:7" x14ac:dyDescent="0.3">
      <c r="A70" t="s">
        <v>242</v>
      </c>
      <c r="B70" t="str" cm="1">
        <f t="array" aca="1" ref="B70" ca="1">INDEX(FirstNames[First Name],RANDBETWEEN(1,30))&amp;" "&amp;INDEX(LastNames[Last Name],RANDBETWEEN(1,20))</f>
        <v>Vikram Kumar</v>
      </c>
      <c r="C70" t="str">
        <f ca="1">_xlfn.XLOOKUP(LEFT(Customers[[#This Row],[Customer Name]],FIND(" ",Customers[[#This Row],[Customer Name]])-1),FirstNames[First Name],FirstNames[Gender])</f>
        <v>Male</v>
      </c>
      <c r="D70">
        <f t="shared" ca="1" si="0"/>
        <v>43</v>
      </c>
      <c r="E70" t="str" cm="1">
        <f t="array" aca="1" ref="E70" ca="1">INDEX(Cities[City],RANDBETWEEN(1,10))</f>
        <v>Jaipur</v>
      </c>
      <c r="F70" t="str">
        <f ca="1">_xlfn.XLOOKUP(Customers[[#This Row],[City]],Cities[City],Cities[State])</f>
        <v>Rajasthan</v>
      </c>
      <c r="G70" t="str" cm="1">
        <f t="array" aca="1" ref="G70" ca="1">INDEX(Cities[Customer Type],RANDBETWEEN(1,3))</f>
        <v>Premium</v>
      </c>
    </row>
    <row r="71" spans="1:7" x14ac:dyDescent="0.3">
      <c r="A71" t="s">
        <v>243</v>
      </c>
      <c r="B71" t="str" cm="1">
        <f t="array" aca="1" ref="B71" ca="1">INDEX(FirstNames[First Name],RANDBETWEEN(1,30))&amp;" "&amp;INDEX(LastNames[Last Name],RANDBETWEEN(1,20))</f>
        <v>Keerthana Rao</v>
      </c>
      <c r="C71" t="str">
        <f ca="1">_xlfn.XLOOKUP(LEFT(Customers[[#This Row],[Customer Name]],FIND(" ",Customers[[#This Row],[Customer Name]])-1),FirstNames[First Name],FirstNames[Gender])</f>
        <v>Female</v>
      </c>
      <c r="D71">
        <f t="shared" ca="1" si="0"/>
        <v>22</v>
      </c>
      <c r="E71" t="str" cm="1">
        <f t="array" aca="1" ref="E71" ca="1">INDEX(Cities[City],RANDBETWEEN(1,10))</f>
        <v>Kochi</v>
      </c>
      <c r="F71" t="str">
        <f ca="1">_xlfn.XLOOKUP(Customers[[#This Row],[City]],Cities[City],Cities[State])</f>
        <v>Kerala</v>
      </c>
      <c r="G71" t="str" cm="1">
        <f t="array" aca="1" ref="G71" ca="1">INDEX(Cities[Customer Type],RANDBETWEEN(1,3))</f>
        <v>VIP</v>
      </c>
    </row>
    <row r="72" spans="1:7" x14ac:dyDescent="0.3">
      <c r="A72" t="s">
        <v>244</v>
      </c>
      <c r="B72" t="str" cm="1">
        <f t="array" aca="1" ref="B72" ca="1">INDEX(FirstNames[First Name],RANDBETWEEN(1,30))&amp;" "&amp;INDEX(LastNames[Last Name],RANDBETWEEN(1,20))</f>
        <v>Abinaya Kumar</v>
      </c>
      <c r="C72" t="str">
        <f ca="1">_xlfn.XLOOKUP(LEFT(Customers[[#This Row],[Customer Name]],FIND(" ",Customers[[#This Row],[Customer Name]])-1),FirstNames[First Name],FirstNames[Gender])</f>
        <v>Female</v>
      </c>
      <c r="D72">
        <f t="shared" ca="1" si="0"/>
        <v>37</v>
      </c>
      <c r="E72" t="str" cm="1">
        <f t="array" aca="1" ref="E72" ca="1">INDEX(Cities[City],RANDBETWEEN(1,10))</f>
        <v>Kolkata</v>
      </c>
      <c r="F72" t="str">
        <f ca="1">_xlfn.XLOOKUP(Customers[[#This Row],[City]],Cities[City],Cities[State])</f>
        <v>West Bengal</v>
      </c>
      <c r="G72" t="str" cm="1">
        <f t="array" aca="1" ref="G72" ca="1">INDEX(Cities[Customer Type],RANDBETWEEN(1,3))</f>
        <v>VIP</v>
      </c>
    </row>
    <row r="73" spans="1:7" x14ac:dyDescent="0.3">
      <c r="A73" t="s">
        <v>245</v>
      </c>
      <c r="B73" t="str" cm="1">
        <f t="array" aca="1" ref="B73" ca="1">INDEX(FirstNames[First Name],RANDBETWEEN(1,30))&amp;" "&amp;INDEX(LastNames[Last Name],RANDBETWEEN(1,20))</f>
        <v>Ananya Yadav</v>
      </c>
      <c r="C73" t="str">
        <f ca="1">_xlfn.XLOOKUP(LEFT(Customers[[#This Row],[Customer Name]],FIND(" ",Customers[[#This Row],[Customer Name]])-1),FirstNames[First Name],FirstNames[Gender])</f>
        <v>Female</v>
      </c>
      <c r="D73">
        <f t="shared" ca="1" si="0"/>
        <v>23</v>
      </c>
      <c r="E73" t="str" cm="1">
        <f t="array" aca="1" ref="E73" ca="1">INDEX(Cities[City],RANDBETWEEN(1,10))</f>
        <v>Bengaluru</v>
      </c>
      <c r="F73" t="str">
        <f ca="1">_xlfn.XLOOKUP(Customers[[#This Row],[City]],Cities[City],Cities[State])</f>
        <v>Karnataka</v>
      </c>
      <c r="G73" t="str" cm="1">
        <f t="array" aca="1" ref="G73" ca="1">INDEX(Cities[Customer Type],RANDBETWEEN(1,3))</f>
        <v>Premium</v>
      </c>
    </row>
    <row r="74" spans="1:7" x14ac:dyDescent="0.3">
      <c r="A74" t="s">
        <v>246</v>
      </c>
      <c r="B74" t="str" cm="1">
        <f t="array" aca="1" ref="B74" ca="1">INDEX(FirstNames[First Name],RANDBETWEEN(1,30))&amp;" "&amp;INDEX(LastNames[Last Name],RANDBETWEEN(1,20))</f>
        <v>Sneha Iyer</v>
      </c>
      <c r="C74" t="str">
        <f ca="1">_xlfn.XLOOKUP(LEFT(Customers[[#This Row],[Customer Name]],FIND(" ",Customers[[#This Row],[Customer Name]])-1),FirstNames[First Name],FirstNames[Gender])</f>
        <v>Female</v>
      </c>
      <c r="D74">
        <f t="shared" ca="1" si="0"/>
        <v>40</v>
      </c>
      <c r="E74" t="str" cm="1">
        <f t="array" aca="1" ref="E74" ca="1">INDEX(Cities[City],RANDBETWEEN(1,10))</f>
        <v>Bengaluru</v>
      </c>
      <c r="F74" t="str">
        <f ca="1">_xlfn.XLOOKUP(Customers[[#This Row],[City]],Cities[City],Cities[State])</f>
        <v>Karnataka</v>
      </c>
      <c r="G74" t="str" cm="1">
        <f t="array" aca="1" ref="G74" ca="1">INDEX(Cities[Customer Type],RANDBETWEEN(1,3))</f>
        <v>Premium</v>
      </c>
    </row>
    <row r="75" spans="1:7" x14ac:dyDescent="0.3">
      <c r="A75" t="s">
        <v>247</v>
      </c>
      <c r="B75" t="str" cm="1">
        <f t="array" aca="1" ref="B75" ca="1">INDEX(FirstNames[First Name],RANDBETWEEN(1,30))&amp;" "&amp;INDEX(LastNames[Last Name],RANDBETWEEN(1,20))</f>
        <v>Anjali Das</v>
      </c>
      <c r="C75" t="str">
        <f ca="1">_xlfn.XLOOKUP(LEFT(Customers[[#This Row],[Customer Name]],FIND(" ",Customers[[#This Row],[Customer Name]])-1),FirstNames[First Name],FirstNames[Gender])</f>
        <v>Female</v>
      </c>
      <c r="D75">
        <f t="shared" ca="1" si="0"/>
        <v>38</v>
      </c>
      <c r="E75" t="str" cm="1">
        <f t="array" aca="1" ref="E75" ca="1">INDEX(Cities[City],RANDBETWEEN(1,10))</f>
        <v>Hyderabad</v>
      </c>
      <c r="F75" t="str">
        <f ca="1">_xlfn.XLOOKUP(Customers[[#This Row],[City]],Cities[City],Cities[State])</f>
        <v>Telangana</v>
      </c>
      <c r="G75" t="str" cm="1">
        <f t="array" aca="1" ref="G75" ca="1">INDEX(Cities[Customer Type],RANDBETWEEN(1,3))</f>
        <v>Premium</v>
      </c>
    </row>
    <row r="76" spans="1:7" x14ac:dyDescent="0.3">
      <c r="A76" t="s">
        <v>248</v>
      </c>
      <c r="B76" t="str" cm="1">
        <f t="array" aca="1" ref="B76" ca="1">INDEX(FirstNames[First Name],RANDBETWEEN(1,30))&amp;" "&amp;INDEX(LastNames[Last Name],RANDBETWEEN(1,20))</f>
        <v>Keerthana Kapoor</v>
      </c>
      <c r="C76" t="str">
        <f ca="1">_xlfn.XLOOKUP(LEFT(Customers[[#This Row],[Customer Name]],FIND(" ",Customers[[#This Row],[Customer Name]])-1),FirstNames[First Name],FirstNames[Gender])</f>
        <v>Female</v>
      </c>
      <c r="D76">
        <f t="shared" ca="1" si="0"/>
        <v>32</v>
      </c>
      <c r="E76" t="str" cm="1">
        <f t="array" aca="1" ref="E76" ca="1">INDEX(Cities[City],RANDBETWEEN(1,10))</f>
        <v>Jaipur</v>
      </c>
      <c r="F76" t="str">
        <f ca="1">_xlfn.XLOOKUP(Customers[[#This Row],[City]],Cities[City],Cities[State])</f>
        <v>Rajasthan</v>
      </c>
      <c r="G76" t="str" cm="1">
        <f t="array" aca="1" ref="G76" ca="1">INDEX(Cities[Customer Type],RANDBETWEEN(1,3))</f>
        <v>Premium</v>
      </c>
    </row>
    <row r="77" spans="1:7" x14ac:dyDescent="0.3">
      <c r="A77" t="s">
        <v>249</v>
      </c>
      <c r="B77" t="str" cm="1">
        <f t="array" aca="1" ref="B77" ca="1">INDEX(FirstNames[First Name],RANDBETWEEN(1,30))&amp;" "&amp;INDEX(LastNames[Last Name],RANDBETWEEN(1,20))</f>
        <v>Pooja Das</v>
      </c>
      <c r="C77" t="str">
        <f ca="1">_xlfn.XLOOKUP(LEFT(Customers[[#This Row],[Customer Name]],FIND(" ",Customers[[#This Row],[Customer Name]])-1),FirstNames[First Name],FirstNames[Gender])</f>
        <v>Female</v>
      </c>
      <c r="D77">
        <f t="shared" ca="1" si="0"/>
        <v>51</v>
      </c>
      <c r="E77" t="str" cm="1">
        <f t="array" aca="1" ref="E77" ca="1">INDEX(Cities[City],RANDBETWEEN(1,10))</f>
        <v>Chennai</v>
      </c>
      <c r="F77" t="str">
        <f ca="1">_xlfn.XLOOKUP(Customers[[#This Row],[City]],Cities[City],Cities[State])</f>
        <v>Tamil Nadu</v>
      </c>
      <c r="G77" t="str" cm="1">
        <f t="array" aca="1" ref="G77" ca="1">INDEX(Cities[Customer Type],RANDBETWEEN(1,3))</f>
        <v>Premium</v>
      </c>
    </row>
    <row r="78" spans="1:7" x14ac:dyDescent="0.3">
      <c r="A78" t="s">
        <v>250</v>
      </c>
      <c r="B78" t="str" cm="1">
        <f t="array" aca="1" ref="B78" ca="1">INDEX(FirstNames[First Name],RANDBETWEEN(1,30))&amp;" "&amp;INDEX(LastNames[Last Name],RANDBETWEEN(1,20))</f>
        <v>Arjun Srinivas</v>
      </c>
      <c r="C78" t="str">
        <f ca="1">_xlfn.XLOOKUP(LEFT(Customers[[#This Row],[Customer Name]],FIND(" ",Customers[[#This Row],[Customer Name]])-1),FirstNames[First Name],FirstNames[Gender])</f>
        <v>Male</v>
      </c>
      <c r="D78">
        <f t="shared" ca="1" si="0"/>
        <v>33</v>
      </c>
      <c r="E78" t="str" cm="1">
        <f t="array" aca="1" ref="E78" ca="1">INDEX(Cities[City],RANDBETWEEN(1,10))</f>
        <v>Bengaluru</v>
      </c>
      <c r="F78" t="str">
        <f ca="1">_xlfn.XLOOKUP(Customers[[#This Row],[City]],Cities[City],Cities[State])</f>
        <v>Karnataka</v>
      </c>
      <c r="G78" t="str" cm="1">
        <f t="array" aca="1" ref="G78" ca="1">INDEX(Cities[Customer Type],RANDBETWEEN(1,3))</f>
        <v>VIP</v>
      </c>
    </row>
    <row r="79" spans="1:7" x14ac:dyDescent="0.3">
      <c r="A79" t="s">
        <v>251</v>
      </c>
      <c r="B79" t="str" cm="1">
        <f t="array" aca="1" ref="B79" ca="1">INDEX(FirstNames[First Name],RANDBETWEEN(1,30))&amp;" "&amp;INDEX(LastNames[Last Name],RANDBETWEEN(1,20))</f>
        <v>Priya Patel</v>
      </c>
      <c r="C79" t="str">
        <f ca="1">_xlfn.XLOOKUP(LEFT(Customers[[#This Row],[Customer Name]],FIND(" ",Customers[[#This Row],[Customer Name]])-1),FirstNames[First Name],FirstNames[Gender])</f>
        <v>Female</v>
      </c>
      <c r="D79">
        <f t="shared" ca="1" si="0"/>
        <v>49</v>
      </c>
      <c r="E79" t="str" cm="1">
        <f t="array" aca="1" ref="E79" ca="1">INDEX(Cities[City],RANDBETWEEN(1,10))</f>
        <v>Jaipur</v>
      </c>
      <c r="F79" t="str">
        <f ca="1">_xlfn.XLOOKUP(Customers[[#This Row],[City]],Cities[City],Cities[State])</f>
        <v>Rajasthan</v>
      </c>
      <c r="G79" t="str" cm="1">
        <f t="array" aca="1" ref="G79" ca="1">INDEX(Cities[Customer Type],RANDBETWEEN(1,3))</f>
        <v>Premium</v>
      </c>
    </row>
    <row r="80" spans="1:7" x14ac:dyDescent="0.3">
      <c r="A80" t="s">
        <v>252</v>
      </c>
      <c r="B80" t="str" cm="1">
        <f t="array" aca="1" ref="B80" ca="1">INDEX(FirstNames[First Name],RANDBETWEEN(1,30))&amp;" "&amp;INDEX(LastNames[Last Name],RANDBETWEEN(1,20))</f>
        <v>Rohan Yadav</v>
      </c>
      <c r="C80" t="str">
        <f ca="1">_xlfn.XLOOKUP(LEFT(Customers[[#This Row],[Customer Name]],FIND(" ",Customers[[#This Row],[Customer Name]])-1),FirstNames[First Name],FirstNames[Gender])</f>
        <v>Male</v>
      </c>
      <c r="D80">
        <f t="shared" ca="1" si="0"/>
        <v>52</v>
      </c>
      <c r="E80" t="str" cm="1">
        <f t="array" aca="1" ref="E80" ca="1">INDEX(Cities[City],RANDBETWEEN(1,10))</f>
        <v>Pune</v>
      </c>
      <c r="F80" t="str">
        <f ca="1">_xlfn.XLOOKUP(Customers[[#This Row],[City]],Cities[City],Cities[State])</f>
        <v>Maharashtra</v>
      </c>
      <c r="G80" t="str" cm="1">
        <f t="array" aca="1" ref="G80" ca="1">INDEX(Cities[Customer Type],RANDBETWEEN(1,3))</f>
        <v>VIP</v>
      </c>
    </row>
    <row r="81" spans="1:7" x14ac:dyDescent="0.3">
      <c r="A81" t="s">
        <v>253</v>
      </c>
      <c r="B81" t="str" cm="1">
        <f t="array" aca="1" ref="B81" ca="1">INDEX(FirstNames[First Name],RANDBETWEEN(1,30))&amp;" "&amp;INDEX(LastNames[Last Name],RANDBETWEEN(1,20))</f>
        <v>Meera Patel</v>
      </c>
      <c r="C81" t="str">
        <f ca="1">_xlfn.XLOOKUP(LEFT(Customers[[#This Row],[Customer Name]],FIND(" ",Customers[[#This Row],[Customer Name]])-1),FirstNames[First Name],FirstNames[Gender])</f>
        <v>Female</v>
      </c>
      <c r="D81">
        <f t="shared" ca="1" si="0"/>
        <v>46</v>
      </c>
      <c r="E81" t="str" cm="1">
        <f t="array" aca="1" ref="E81" ca="1">INDEX(Cities[City],RANDBETWEEN(1,10))</f>
        <v>Lucknow</v>
      </c>
      <c r="F81" t="str">
        <f ca="1">_xlfn.XLOOKUP(Customers[[#This Row],[City]],Cities[City],Cities[State])</f>
        <v>Uttar Pradesh</v>
      </c>
      <c r="G81" t="str" cm="1">
        <f t="array" aca="1" ref="G81" ca="1">INDEX(Cities[Customer Type],RANDBETWEEN(1,3))</f>
        <v>Premium</v>
      </c>
    </row>
    <row r="82" spans="1:7" x14ac:dyDescent="0.3">
      <c r="A82" t="s">
        <v>254</v>
      </c>
      <c r="B82" t="str" cm="1">
        <f t="array" aca="1" ref="B82" ca="1">INDEX(FirstNames[First Name],RANDBETWEEN(1,30))&amp;" "&amp;INDEX(LastNames[Last Name],RANDBETWEEN(1,20))</f>
        <v>Akash Kapoor</v>
      </c>
      <c r="C82" t="str">
        <f ca="1">_xlfn.XLOOKUP(LEFT(Customers[[#This Row],[Customer Name]],FIND(" ",Customers[[#This Row],[Customer Name]])-1),FirstNames[First Name],FirstNames[Gender])</f>
        <v>Male</v>
      </c>
      <c r="D82">
        <f t="shared" ca="1" si="0"/>
        <v>24</v>
      </c>
      <c r="E82" t="str" cm="1">
        <f t="array" aca="1" ref="E82" ca="1">INDEX(Cities[City],RANDBETWEEN(1,10))</f>
        <v>Bengaluru</v>
      </c>
      <c r="F82" t="str">
        <f ca="1">_xlfn.XLOOKUP(Customers[[#This Row],[City]],Cities[City],Cities[State])</f>
        <v>Karnataka</v>
      </c>
      <c r="G82" t="str" cm="1">
        <f t="array" aca="1" ref="G82" ca="1">INDEX(Cities[Customer Type],RANDBETWEEN(1,3))</f>
        <v>Premium</v>
      </c>
    </row>
    <row r="83" spans="1:7" x14ac:dyDescent="0.3">
      <c r="A83" t="s">
        <v>255</v>
      </c>
      <c r="B83" t="str" cm="1">
        <f t="array" aca="1" ref="B83" ca="1">INDEX(FirstNames[First Name],RANDBETWEEN(1,30))&amp;" "&amp;INDEX(LastNames[Last Name],RANDBETWEEN(1,20))</f>
        <v>Pooja Joshi</v>
      </c>
      <c r="C83" t="str">
        <f ca="1">_xlfn.XLOOKUP(LEFT(Customers[[#This Row],[Customer Name]],FIND(" ",Customers[[#This Row],[Customer Name]])-1),FirstNames[First Name],FirstNames[Gender])</f>
        <v>Female</v>
      </c>
      <c r="D83">
        <f t="shared" ca="1" si="0"/>
        <v>52</v>
      </c>
      <c r="E83" t="str" cm="1">
        <f t="array" aca="1" ref="E83" ca="1">INDEX(Cities[City],RANDBETWEEN(1,10))</f>
        <v>Ahmedabad</v>
      </c>
      <c r="F83" t="str">
        <f ca="1">_xlfn.XLOOKUP(Customers[[#This Row],[City]],Cities[City],Cities[State])</f>
        <v>Gujarat</v>
      </c>
      <c r="G83" t="str" cm="1">
        <f t="array" aca="1" ref="G83" ca="1">INDEX(Cities[Customer Type],RANDBETWEEN(1,3))</f>
        <v>Premium</v>
      </c>
    </row>
    <row r="84" spans="1:7" x14ac:dyDescent="0.3">
      <c r="A84" t="s">
        <v>256</v>
      </c>
      <c r="B84" t="str" cm="1">
        <f t="array" aca="1" ref="B84" ca="1">INDEX(FirstNames[First Name],RANDBETWEEN(1,30))&amp;" "&amp;INDEX(LastNames[Last Name],RANDBETWEEN(1,20))</f>
        <v>Abinaya Singh</v>
      </c>
      <c r="C84" t="str">
        <f ca="1">_xlfn.XLOOKUP(LEFT(Customers[[#This Row],[Customer Name]],FIND(" ",Customers[[#This Row],[Customer Name]])-1),FirstNames[First Name],FirstNames[Gender])</f>
        <v>Female</v>
      </c>
      <c r="D84">
        <f t="shared" ca="1" si="0"/>
        <v>46</v>
      </c>
      <c r="E84" t="str" cm="1">
        <f t="array" aca="1" ref="E84" ca="1">INDEX(Cities[City],RANDBETWEEN(1,10))</f>
        <v>Kochi</v>
      </c>
      <c r="F84" t="str">
        <f ca="1">_xlfn.XLOOKUP(Customers[[#This Row],[City]],Cities[City],Cities[State])</f>
        <v>Kerala</v>
      </c>
      <c r="G84" t="str" cm="1">
        <f t="array" aca="1" ref="G84" ca="1">INDEX(Cities[Customer Type],RANDBETWEEN(1,3))</f>
        <v>Regular</v>
      </c>
    </row>
    <row r="85" spans="1:7" x14ac:dyDescent="0.3">
      <c r="A85" t="s">
        <v>257</v>
      </c>
      <c r="B85" t="str" cm="1">
        <f t="array" aca="1" ref="B85" ca="1">INDEX(FirstNames[First Name],RANDBETWEEN(1,30))&amp;" "&amp;INDEX(LastNames[Last Name],RANDBETWEEN(1,20))</f>
        <v>Shreya Kapoor</v>
      </c>
      <c r="C85" t="str">
        <f ca="1">_xlfn.XLOOKUP(LEFT(Customers[[#This Row],[Customer Name]],FIND(" ",Customers[[#This Row],[Customer Name]])-1),FirstNames[First Name],FirstNames[Gender])</f>
        <v>Female</v>
      </c>
      <c r="D85">
        <f t="shared" ca="1" si="0"/>
        <v>26</v>
      </c>
      <c r="E85" t="str" cm="1">
        <f t="array" aca="1" ref="E85" ca="1">INDEX(Cities[City],RANDBETWEEN(1,10))</f>
        <v>Pune</v>
      </c>
      <c r="F85" t="str">
        <f ca="1">_xlfn.XLOOKUP(Customers[[#This Row],[City]],Cities[City],Cities[State])</f>
        <v>Maharashtra</v>
      </c>
      <c r="G85" t="str" cm="1">
        <f t="array" aca="1" ref="G85" ca="1">INDEX(Cities[Customer Type],RANDBETWEEN(1,3))</f>
        <v>VIP</v>
      </c>
    </row>
    <row r="86" spans="1:7" x14ac:dyDescent="0.3">
      <c r="A86" t="s">
        <v>258</v>
      </c>
      <c r="B86" t="str" cm="1">
        <f t="array" aca="1" ref="B86" ca="1">INDEX(FirstNames[First Name],RANDBETWEEN(1,30))&amp;" "&amp;INDEX(LastNames[Last Name],RANDBETWEEN(1,20))</f>
        <v>Arjun Singh</v>
      </c>
      <c r="C86" t="str">
        <f ca="1">_xlfn.XLOOKUP(LEFT(Customers[[#This Row],[Customer Name]],FIND(" ",Customers[[#This Row],[Customer Name]])-1),FirstNames[First Name],FirstNames[Gender])</f>
        <v>Male</v>
      </c>
      <c r="D86">
        <f t="shared" ca="1" si="0"/>
        <v>43</v>
      </c>
      <c r="E86" t="str" cm="1">
        <f t="array" aca="1" ref="E86" ca="1">INDEX(Cities[City],RANDBETWEEN(1,10))</f>
        <v>Pune</v>
      </c>
      <c r="F86" t="str">
        <f ca="1">_xlfn.XLOOKUP(Customers[[#This Row],[City]],Cities[City],Cities[State])</f>
        <v>Maharashtra</v>
      </c>
      <c r="G86" t="str" cm="1">
        <f t="array" aca="1" ref="G86" ca="1">INDEX(Cities[Customer Type],RANDBETWEEN(1,3))</f>
        <v>Premium</v>
      </c>
    </row>
    <row r="87" spans="1:7" x14ac:dyDescent="0.3">
      <c r="A87" t="s">
        <v>259</v>
      </c>
      <c r="B87" t="str" cm="1">
        <f t="array" aca="1" ref="B87" ca="1">INDEX(FirstNames[First Name],RANDBETWEEN(1,30))&amp;" "&amp;INDEX(LastNames[Last Name],RANDBETWEEN(1,20))</f>
        <v>Aditya Khan</v>
      </c>
      <c r="C87" t="str">
        <f ca="1">_xlfn.XLOOKUP(LEFT(Customers[[#This Row],[Customer Name]],FIND(" ",Customers[[#This Row],[Customer Name]])-1),FirstNames[First Name],FirstNames[Gender])</f>
        <v>Male</v>
      </c>
      <c r="D87">
        <f t="shared" ref="D87:D150" ca="1" si="1">RANDBETWEEN(18,60)</f>
        <v>39</v>
      </c>
      <c r="E87" t="str" cm="1">
        <f t="array" aca="1" ref="E87" ca="1">INDEX(Cities[City],RANDBETWEEN(1,10))</f>
        <v>Kochi</v>
      </c>
      <c r="F87" t="str">
        <f ca="1">_xlfn.XLOOKUP(Customers[[#This Row],[City]],Cities[City],Cities[State])</f>
        <v>Kerala</v>
      </c>
      <c r="G87" t="str" cm="1">
        <f t="array" aca="1" ref="G87" ca="1">INDEX(Cities[Customer Type],RANDBETWEEN(1,3))</f>
        <v>Premium</v>
      </c>
    </row>
    <row r="88" spans="1:7" x14ac:dyDescent="0.3">
      <c r="A88" t="s">
        <v>260</v>
      </c>
      <c r="B88" t="str" cm="1">
        <f t="array" aca="1" ref="B88" ca="1">INDEX(FirstNames[First Name],RANDBETWEEN(1,30))&amp;" "&amp;INDEX(LastNames[Last Name],RANDBETWEEN(1,20))</f>
        <v>Varun Nair</v>
      </c>
      <c r="C88" t="str">
        <f ca="1">_xlfn.XLOOKUP(LEFT(Customers[[#This Row],[Customer Name]],FIND(" ",Customers[[#This Row],[Customer Name]])-1),FirstNames[First Name],FirstNames[Gender])</f>
        <v>Male</v>
      </c>
      <c r="D88">
        <f t="shared" ca="1" si="1"/>
        <v>49</v>
      </c>
      <c r="E88" t="str" cm="1">
        <f t="array" aca="1" ref="E88" ca="1">INDEX(Cities[City],RANDBETWEEN(1,10))</f>
        <v>Mumbai</v>
      </c>
      <c r="F88" t="str">
        <f ca="1">_xlfn.XLOOKUP(Customers[[#This Row],[City]],Cities[City],Cities[State])</f>
        <v>Maharashtra</v>
      </c>
      <c r="G88" t="str" cm="1">
        <f t="array" aca="1" ref="G88" ca="1">INDEX(Cities[Customer Type],RANDBETWEEN(1,3))</f>
        <v>Regular</v>
      </c>
    </row>
    <row r="89" spans="1:7" x14ac:dyDescent="0.3">
      <c r="A89" t="s">
        <v>261</v>
      </c>
      <c r="B89" t="str" cm="1">
        <f t="array" aca="1" ref="B89" ca="1">INDEX(FirstNames[First Name],RANDBETWEEN(1,30))&amp;" "&amp;INDEX(LastNames[Last Name],RANDBETWEEN(1,20))</f>
        <v>Manish Reddy</v>
      </c>
      <c r="C89" t="str">
        <f ca="1">_xlfn.XLOOKUP(LEFT(Customers[[#This Row],[Customer Name]],FIND(" ",Customers[[#This Row],[Customer Name]])-1),FirstNames[First Name],FirstNames[Gender])</f>
        <v>Male</v>
      </c>
      <c r="D89">
        <f t="shared" ca="1" si="1"/>
        <v>50</v>
      </c>
      <c r="E89" t="str" cm="1">
        <f t="array" aca="1" ref="E89" ca="1">INDEX(Cities[City],RANDBETWEEN(1,10))</f>
        <v>Kolkata</v>
      </c>
      <c r="F89" t="str">
        <f ca="1">_xlfn.XLOOKUP(Customers[[#This Row],[City]],Cities[City],Cities[State])</f>
        <v>West Bengal</v>
      </c>
      <c r="G89" t="str" cm="1">
        <f t="array" aca="1" ref="G89" ca="1">INDEX(Cities[Customer Type],RANDBETWEEN(1,3))</f>
        <v>Regular</v>
      </c>
    </row>
    <row r="90" spans="1:7" x14ac:dyDescent="0.3">
      <c r="A90" t="s">
        <v>262</v>
      </c>
      <c r="B90" t="str" cm="1">
        <f t="array" aca="1" ref="B90" ca="1">INDEX(FirstNames[First Name],RANDBETWEEN(1,30))&amp;" "&amp;INDEX(LastNames[Last Name],RANDBETWEEN(1,20))</f>
        <v>Abinaya Gupta</v>
      </c>
      <c r="C90" t="str">
        <f ca="1">_xlfn.XLOOKUP(LEFT(Customers[[#This Row],[Customer Name]],FIND(" ",Customers[[#This Row],[Customer Name]])-1),FirstNames[First Name],FirstNames[Gender])</f>
        <v>Female</v>
      </c>
      <c r="D90">
        <f t="shared" ca="1" si="1"/>
        <v>26</v>
      </c>
      <c r="E90" t="str" cm="1">
        <f t="array" aca="1" ref="E90" ca="1">INDEX(Cities[City],RANDBETWEEN(1,10))</f>
        <v>Lucknow</v>
      </c>
      <c r="F90" t="str">
        <f ca="1">_xlfn.XLOOKUP(Customers[[#This Row],[City]],Cities[City],Cities[State])</f>
        <v>Uttar Pradesh</v>
      </c>
      <c r="G90" t="str" cm="1">
        <f t="array" aca="1" ref="G90" ca="1">INDEX(Cities[Customer Type],RANDBETWEEN(1,3))</f>
        <v>VIP</v>
      </c>
    </row>
    <row r="91" spans="1:7" x14ac:dyDescent="0.3">
      <c r="A91" t="s">
        <v>263</v>
      </c>
      <c r="B91" t="str" cm="1">
        <f t="array" aca="1" ref="B91" ca="1">INDEX(FirstNames[First Name],RANDBETWEEN(1,30))&amp;" "&amp;INDEX(LastNames[Last Name],RANDBETWEEN(1,20))</f>
        <v>Nandhini Yadav</v>
      </c>
      <c r="C91" t="str">
        <f ca="1">_xlfn.XLOOKUP(LEFT(Customers[[#This Row],[Customer Name]],FIND(" ",Customers[[#This Row],[Customer Name]])-1),FirstNames[First Name],FirstNames[Gender])</f>
        <v>Female</v>
      </c>
      <c r="D91">
        <f t="shared" ca="1" si="1"/>
        <v>36</v>
      </c>
      <c r="E91" t="str" cm="1">
        <f t="array" aca="1" ref="E91" ca="1">INDEX(Cities[City],RANDBETWEEN(1,10))</f>
        <v>Kochi</v>
      </c>
      <c r="F91" t="str">
        <f ca="1">_xlfn.XLOOKUP(Customers[[#This Row],[City]],Cities[City],Cities[State])</f>
        <v>Kerala</v>
      </c>
      <c r="G91" t="str" cm="1">
        <f t="array" aca="1" ref="G91" ca="1">INDEX(Cities[Customer Type],RANDBETWEEN(1,3))</f>
        <v>Regular</v>
      </c>
    </row>
    <row r="92" spans="1:7" x14ac:dyDescent="0.3">
      <c r="A92" t="s">
        <v>264</v>
      </c>
      <c r="B92" t="str" cm="1">
        <f t="array" aca="1" ref="B92" ca="1">INDEX(FirstNames[First Name],RANDBETWEEN(1,30))&amp;" "&amp;INDEX(LastNames[Last Name],RANDBETWEEN(1,20))</f>
        <v>Lakshmi Patel</v>
      </c>
      <c r="C92" t="str">
        <f ca="1">_xlfn.XLOOKUP(LEFT(Customers[[#This Row],[Customer Name]],FIND(" ",Customers[[#This Row],[Customer Name]])-1),FirstNames[First Name],FirstNames[Gender])</f>
        <v>Female</v>
      </c>
      <c r="D92">
        <f t="shared" ca="1" si="1"/>
        <v>55</v>
      </c>
      <c r="E92" t="str" cm="1">
        <f t="array" aca="1" ref="E92" ca="1">INDEX(Cities[City],RANDBETWEEN(1,10))</f>
        <v>Pune</v>
      </c>
      <c r="F92" t="str">
        <f ca="1">_xlfn.XLOOKUP(Customers[[#This Row],[City]],Cities[City],Cities[State])</f>
        <v>Maharashtra</v>
      </c>
      <c r="G92" t="str" cm="1">
        <f t="array" aca="1" ref="G92" ca="1">INDEX(Cities[Customer Type],RANDBETWEEN(1,3))</f>
        <v>Premium</v>
      </c>
    </row>
    <row r="93" spans="1:7" x14ac:dyDescent="0.3">
      <c r="A93" t="s">
        <v>265</v>
      </c>
      <c r="B93" t="str" cm="1">
        <f t="array" aca="1" ref="B93" ca="1">INDEX(FirstNames[First Name],RANDBETWEEN(1,30))&amp;" "&amp;INDEX(LastNames[Last Name],RANDBETWEEN(1,20))</f>
        <v>Harini Iyer</v>
      </c>
      <c r="C93" t="str">
        <f ca="1">_xlfn.XLOOKUP(LEFT(Customers[[#This Row],[Customer Name]],FIND(" ",Customers[[#This Row],[Customer Name]])-1),FirstNames[First Name],FirstNames[Gender])</f>
        <v>Female</v>
      </c>
      <c r="D93">
        <f t="shared" ca="1" si="1"/>
        <v>55</v>
      </c>
      <c r="E93" t="str" cm="1">
        <f t="array" aca="1" ref="E93" ca="1">INDEX(Cities[City],RANDBETWEEN(1,10))</f>
        <v>Kochi</v>
      </c>
      <c r="F93" t="str">
        <f ca="1">_xlfn.XLOOKUP(Customers[[#This Row],[City]],Cities[City],Cities[State])</f>
        <v>Kerala</v>
      </c>
      <c r="G93" t="str" cm="1">
        <f t="array" aca="1" ref="G93" ca="1">INDEX(Cities[Customer Type],RANDBETWEEN(1,3))</f>
        <v>Premium</v>
      </c>
    </row>
    <row r="94" spans="1:7" x14ac:dyDescent="0.3">
      <c r="A94" t="s">
        <v>266</v>
      </c>
      <c r="B94" t="str" cm="1">
        <f t="array" aca="1" ref="B94" ca="1">INDEX(FirstNames[First Name],RANDBETWEEN(1,30))&amp;" "&amp;INDEX(LastNames[Last Name],RANDBETWEEN(1,20))</f>
        <v>Karthik Rao</v>
      </c>
      <c r="C94" t="str">
        <f ca="1">_xlfn.XLOOKUP(LEFT(Customers[[#This Row],[Customer Name]],FIND(" ",Customers[[#This Row],[Customer Name]])-1),FirstNames[First Name],FirstNames[Gender])</f>
        <v>Male</v>
      </c>
      <c r="D94">
        <f t="shared" ca="1" si="1"/>
        <v>28</v>
      </c>
      <c r="E94" t="str" cm="1">
        <f t="array" aca="1" ref="E94" ca="1">INDEX(Cities[City],RANDBETWEEN(1,10))</f>
        <v>Ahmedabad</v>
      </c>
      <c r="F94" t="str">
        <f ca="1">_xlfn.XLOOKUP(Customers[[#This Row],[City]],Cities[City],Cities[State])</f>
        <v>Gujarat</v>
      </c>
      <c r="G94" t="str" cm="1">
        <f t="array" aca="1" ref="G94" ca="1">INDEX(Cities[Customer Type],RANDBETWEEN(1,3))</f>
        <v>Regular</v>
      </c>
    </row>
    <row r="95" spans="1:7" x14ac:dyDescent="0.3">
      <c r="A95" t="s">
        <v>267</v>
      </c>
      <c r="B95" t="str" cm="1">
        <f t="array" aca="1" ref="B95" ca="1">INDEX(FirstNames[First Name],RANDBETWEEN(1,30))&amp;" "&amp;INDEX(LastNames[Last Name],RANDBETWEEN(1,20))</f>
        <v>Arjun Singh</v>
      </c>
      <c r="C95" t="str">
        <f ca="1">_xlfn.XLOOKUP(LEFT(Customers[[#This Row],[Customer Name]],FIND(" ",Customers[[#This Row],[Customer Name]])-1),FirstNames[First Name],FirstNames[Gender])</f>
        <v>Male</v>
      </c>
      <c r="D95">
        <f t="shared" ca="1" si="1"/>
        <v>52</v>
      </c>
      <c r="E95" t="str" cm="1">
        <f t="array" aca="1" ref="E95" ca="1">INDEX(Cities[City],RANDBETWEEN(1,10))</f>
        <v>Kolkata</v>
      </c>
      <c r="F95" t="str">
        <f ca="1">_xlfn.XLOOKUP(Customers[[#This Row],[City]],Cities[City],Cities[State])</f>
        <v>West Bengal</v>
      </c>
      <c r="G95" t="str" cm="1">
        <f t="array" aca="1" ref="G95" ca="1">INDEX(Cities[Customer Type],RANDBETWEEN(1,3))</f>
        <v>VIP</v>
      </c>
    </row>
    <row r="96" spans="1:7" x14ac:dyDescent="0.3">
      <c r="A96" t="s">
        <v>268</v>
      </c>
      <c r="B96" t="str" cm="1">
        <f t="array" aca="1" ref="B96" ca="1">INDEX(FirstNames[First Name],RANDBETWEEN(1,30))&amp;" "&amp;INDEX(LastNames[Last Name],RANDBETWEEN(1,20))</f>
        <v>Rahul Kapoor</v>
      </c>
      <c r="C96" t="str">
        <f ca="1">_xlfn.XLOOKUP(LEFT(Customers[[#This Row],[Customer Name]],FIND(" ",Customers[[#This Row],[Customer Name]])-1),FirstNames[First Name],FirstNames[Gender])</f>
        <v>Male</v>
      </c>
      <c r="D96">
        <f t="shared" ca="1" si="1"/>
        <v>45</v>
      </c>
      <c r="E96" t="str" cm="1">
        <f t="array" aca="1" ref="E96" ca="1">INDEX(Cities[City],RANDBETWEEN(1,10))</f>
        <v>Jaipur</v>
      </c>
      <c r="F96" t="str">
        <f ca="1">_xlfn.XLOOKUP(Customers[[#This Row],[City]],Cities[City],Cities[State])</f>
        <v>Rajasthan</v>
      </c>
      <c r="G96" t="str" cm="1">
        <f t="array" aca="1" ref="G96" ca="1">INDEX(Cities[Customer Type],RANDBETWEEN(1,3))</f>
        <v>VIP</v>
      </c>
    </row>
    <row r="97" spans="1:7" x14ac:dyDescent="0.3">
      <c r="A97" t="s">
        <v>269</v>
      </c>
      <c r="B97" t="str" cm="1">
        <f t="array" aca="1" ref="B97" ca="1">INDEX(FirstNames[First Name],RANDBETWEEN(1,30))&amp;" "&amp;INDEX(LastNames[Last Name],RANDBETWEEN(1,20))</f>
        <v>Sneha Rao</v>
      </c>
      <c r="C97" t="str">
        <f ca="1">_xlfn.XLOOKUP(LEFT(Customers[[#This Row],[Customer Name]],FIND(" ",Customers[[#This Row],[Customer Name]])-1),FirstNames[First Name],FirstNames[Gender])</f>
        <v>Female</v>
      </c>
      <c r="D97">
        <f t="shared" ca="1" si="1"/>
        <v>29</v>
      </c>
      <c r="E97" t="str" cm="1">
        <f t="array" aca="1" ref="E97" ca="1">INDEX(Cities[City],RANDBETWEEN(1,10))</f>
        <v>Jaipur</v>
      </c>
      <c r="F97" t="str">
        <f ca="1">_xlfn.XLOOKUP(Customers[[#This Row],[City]],Cities[City],Cities[State])</f>
        <v>Rajasthan</v>
      </c>
      <c r="G97" t="str" cm="1">
        <f t="array" aca="1" ref="G97" ca="1">INDEX(Cities[Customer Type],RANDBETWEEN(1,3))</f>
        <v>Premium</v>
      </c>
    </row>
    <row r="98" spans="1:7" x14ac:dyDescent="0.3">
      <c r="A98" t="s">
        <v>270</v>
      </c>
      <c r="B98" t="str" cm="1">
        <f t="array" aca="1" ref="B98" ca="1">INDEX(FirstNames[First Name],RANDBETWEEN(1,30))&amp;" "&amp;INDEX(LastNames[Last Name],RANDBETWEEN(1,20))</f>
        <v>Suresh Sharma</v>
      </c>
      <c r="C98" t="str">
        <f ca="1">_xlfn.XLOOKUP(LEFT(Customers[[#This Row],[Customer Name]],FIND(" ",Customers[[#This Row],[Customer Name]])-1),FirstNames[First Name],FirstNames[Gender])</f>
        <v>Male</v>
      </c>
      <c r="D98">
        <f t="shared" ca="1" si="1"/>
        <v>25</v>
      </c>
      <c r="E98" t="str" cm="1">
        <f t="array" aca="1" ref="E98" ca="1">INDEX(Cities[City],RANDBETWEEN(1,10))</f>
        <v>Bengaluru</v>
      </c>
      <c r="F98" t="str">
        <f ca="1">_xlfn.XLOOKUP(Customers[[#This Row],[City]],Cities[City],Cities[State])</f>
        <v>Karnataka</v>
      </c>
      <c r="G98" t="str" cm="1">
        <f t="array" aca="1" ref="G98" ca="1">INDEX(Cities[Customer Type],RANDBETWEEN(1,3))</f>
        <v>Regular</v>
      </c>
    </row>
    <row r="99" spans="1:7" x14ac:dyDescent="0.3">
      <c r="A99" t="s">
        <v>271</v>
      </c>
      <c r="B99" t="str" cm="1">
        <f t="array" aca="1" ref="B99" ca="1">INDEX(FirstNames[First Name],RANDBETWEEN(1,30))&amp;" "&amp;INDEX(LastNames[Last Name],RANDBETWEEN(1,20))</f>
        <v>Abinaya Reddy</v>
      </c>
      <c r="C99" t="str">
        <f ca="1">_xlfn.XLOOKUP(LEFT(Customers[[#This Row],[Customer Name]],FIND(" ",Customers[[#This Row],[Customer Name]])-1),FirstNames[First Name],FirstNames[Gender])</f>
        <v>Female</v>
      </c>
      <c r="D99">
        <f t="shared" ca="1" si="1"/>
        <v>23</v>
      </c>
      <c r="E99" t="str" cm="1">
        <f t="array" aca="1" ref="E99" ca="1">INDEX(Cities[City],RANDBETWEEN(1,10))</f>
        <v>Bengaluru</v>
      </c>
      <c r="F99" t="str">
        <f ca="1">_xlfn.XLOOKUP(Customers[[#This Row],[City]],Cities[City],Cities[State])</f>
        <v>Karnataka</v>
      </c>
      <c r="G99" t="str" cm="1">
        <f t="array" aca="1" ref="G99" ca="1">INDEX(Cities[Customer Type],RANDBETWEEN(1,3))</f>
        <v>VIP</v>
      </c>
    </row>
    <row r="100" spans="1:7" x14ac:dyDescent="0.3">
      <c r="A100" t="s">
        <v>272</v>
      </c>
      <c r="B100" t="str" cm="1">
        <f t="array" aca="1" ref="B100" ca="1">INDEX(FirstNames[First Name],RANDBETWEEN(1,30))&amp;" "&amp;INDEX(LastNames[Last Name],RANDBETWEEN(1,20))</f>
        <v>Harini Menon</v>
      </c>
      <c r="C100" t="str">
        <f ca="1">_xlfn.XLOOKUP(LEFT(Customers[[#This Row],[Customer Name]],FIND(" ",Customers[[#This Row],[Customer Name]])-1),FirstNames[First Name],FirstNames[Gender])</f>
        <v>Female</v>
      </c>
      <c r="D100">
        <f t="shared" ca="1" si="1"/>
        <v>53</v>
      </c>
      <c r="E100" t="str" cm="1">
        <f t="array" aca="1" ref="E100" ca="1">INDEX(Cities[City],RANDBETWEEN(1,10))</f>
        <v>Pune</v>
      </c>
      <c r="F100" t="str">
        <f ca="1">_xlfn.XLOOKUP(Customers[[#This Row],[City]],Cities[City],Cities[State])</f>
        <v>Maharashtra</v>
      </c>
      <c r="G100" t="str" cm="1">
        <f t="array" aca="1" ref="G100" ca="1">INDEX(Cities[Customer Type],RANDBETWEEN(1,3))</f>
        <v>Premium</v>
      </c>
    </row>
    <row r="101" spans="1:7" x14ac:dyDescent="0.3">
      <c r="A101" t="s">
        <v>273</v>
      </c>
      <c r="B101" t="str" cm="1">
        <f t="array" aca="1" ref="B101" ca="1">INDEX(FirstNames[First Name],RANDBETWEEN(1,30))&amp;" "&amp;INDEX(LastNames[Last Name],RANDBETWEEN(1,20))</f>
        <v>Shreya Gupta</v>
      </c>
      <c r="C101" t="str">
        <f ca="1">_xlfn.XLOOKUP(LEFT(Customers[[#This Row],[Customer Name]],FIND(" ",Customers[[#This Row],[Customer Name]])-1),FirstNames[First Name],FirstNames[Gender])</f>
        <v>Female</v>
      </c>
      <c r="D101">
        <f t="shared" ca="1" si="1"/>
        <v>42</v>
      </c>
      <c r="E101" t="str" cm="1">
        <f t="array" aca="1" ref="E101" ca="1">INDEX(Cities[City],RANDBETWEEN(1,10))</f>
        <v>Chennai</v>
      </c>
      <c r="F101" t="str">
        <f ca="1">_xlfn.XLOOKUP(Customers[[#This Row],[City]],Cities[City],Cities[State])</f>
        <v>Tamil Nadu</v>
      </c>
      <c r="G101" t="str" cm="1">
        <f t="array" aca="1" ref="G101" ca="1">INDEX(Cities[Customer Type],RANDBETWEEN(1,3))</f>
        <v>Regular</v>
      </c>
    </row>
    <row r="102" spans="1:7" x14ac:dyDescent="0.3">
      <c r="A102" t="s">
        <v>274</v>
      </c>
      <c r="B102" t="str" cm="1">
        <f t="array" aca="1" ref="B102" ca="1">INDEX(FirstNames[First Name],RANDBETWEEN(1,30))&amp;" "&amp;INDEX(LastNames[Last Name],RANDBETWEEN(1,20))</f>
        <v>Aarav Nair</v>
      </c>
      <c r="C102" t="str">
        <f ca="1">_xlfn.XLOOKUP(LEFT(Customers[[#This Row],[Customer Name]],FIND(" ",Customers[[#This Row],[Customer Name]])-1),FirstNames[First Name],FirstNames[Gender])</f>
        <v>Male</v>
      </c>
      <c r="D102">
        <f t="shared" ca="1" si="1"/>
        <v>46</v>
      </c>
      <c r="E102" t="str" cm="1">
        <f t="array" aca="1" ref="E102" ca="1">INDEX(Cities[City],RANDBETWEEN(1,10))</f>
        <v>Chennai</v>
      </c>
      <c r="F102" t="str">
        <f ca="1">_xlfn.XLOOKUP(Customers[[#This Row],[City]],Cities[City],Cities[State])</f>
        <v>Tamil Nadu</v>
      </c>
      <c r="G102" t="str" cm="1">
        <f t="array" aca="1" ref="G102" ca="1">INDEX(Cities[Customer Type],RANDBETWEEN(1,3))</f>
        <v>VIP</v>
      </c>
    </row>
    <row r="103" spans="1:7" x14ac:dyDescent="0.3">
      <c r="A103" t="s">
        <v>275</v>
      </c>
      <c r="B103" t="str" cm="1">
        <f t="array" aca="1" ref="B103" ca="1">INDEX(FirstNames[First Name],RANDBETWEEN(1,30))&amp;" "&amp;INDEX(LastNames[Last Name],RANDBETWEEN(1,20))</f>
        <v>Aditya Kumar</v>
      </c>
      <c r="C103" t="str">
        <f ca="1">_xlfn.XLOOKUP(LEFT(Customers[[#This Row],[Customer Name]],FIND(" ",Customers[[#This Row],[Customer Name]])-1),FirstNames[First Name],FirstNames[Gender])</f>
        <v>Male</v>
      </c>
      <c r="D103">
        <f t="shared" ca="1" si="1"/>
        <v>19</v>
      </c>
      <c r="E103" t="str" cm="1">
        <f t="array" aca="1" ref="E103" ca="1">INDEX(Cities[City],RANDBETWEEN(1,10))</f>
        <v>Kochi</v>
      </c>
      <c r="F103" t="str">
        <f ca="1">_xlfn.XLOOKUP(Customers[[#This Row],[City]],Cities[City],Cities[State])</f>
        <v>Kerala</v>
      </c>
      <c r="G103" t="str" cm="1">
        <f t="array" aca="1" ref="G103" ca="1">INDEX(Cities[Customer Type],RANDBETWEEN(1,3))</f>
        <v>Regular</v>
      </c>
    </row>
    <row r="104" spans="1:7" x14ac:dyDescent="0.3">
      <c r="A104" t="s">
        <v>276</v>
      </c>
      <c r="B104" t="str" cm="1">
        <f t="array" aca="1" ref="B104" ca="1">INDEX(FirstNames[First Name],RANDBETWEEN(1,30))&amp;" "&amp;INDEX(LastNames[Last Name],RANDBETWEEN(1,20))</f>
        <v>Karthik Das</v>
      </c>
      <c r="C104" t="str">
        <f ca="1">_xlfn.XLOOKUP(LEFT(Customers[[#This Row],[Customer Name]],FIND(" ",Customers[[#This Row],[Customer Name]])-1),FirstNames[First Name],FirstNames[Gender])</f>
        <v>Male</v>
      </c>
      <c r="D104">
        <f t="shared" ca="1" si="1"/>
        <v>27</v>
      </c>
      <c r="E104" t="str" cm="1">
        <f t="array" aca="1" ref="E104" ca="1">INDEX(Cities[City],RANDBETWEEN(1,10))</f>
        <v>Chennai</v>
      </c>
      <c r="F104" t="str">
        <f ca="1">_xlfn.XLOOKUP(Customers[[#This Row],[City]],Cities[City],Cities[State])</f>
        <v>Tamil Nadu</v>
      </c>
      <c r="G104" t="str" cm="1">
        <f t="array" aca="1" ref="G104" ca="1">INDEX(Cities[Customer Type],RANDBETWEEN(1,3))</f>
        <v>Premium</v>
      </c>
    </row>
    <row r="105" spans="1:7" x14ac:dyDescent="0.3">
      <c r="A105" t="s">
        <v>277</v>
      </c>
      <c r="B105" t="str" cm="1">
        <f t="array" aca="1" ref="B105" ca="1">INDEX(FirstNames[First Name],RANDBETWEEN(1,30))&amp;" "&amp;INDEX(LastNames[Last Name],RANDBETWEEN(1,20))</f>
        <v>Akash Kapoor</v>
      </c>
      <c r="C105" t="str">
        <f ca="1">_xlfn.XLOOKUP(LEFT(Customers[[#This Row],[Customer Name]],FIND(" ",Customers[[#This Row],[Customer Name]])-1),FirstNames[First Name],FirstNames[Gender])</f>
        <v>Male</v>
      </c>
      <c r="D105">
        <f t="shared" ca="1" si="1"/>
        <v>44</v>
      </c>
      <c r="E105" t="str" cm="1">
        <f t="array" aca="1" ref="E105" ca="1">INDEX(Cities[City],RANDBETWEEN(1,10))</f>
        <v>Hyderabad</v>
      </c>
      <c r="F105" t="str">
        <f ca="1">_xlfn.XLOOKUP(Customers[[#This Row],[City]],Cities[City],Cities[State])</f>
        <v>Telangana</v>
      </c>
      <c r="G105" t="str" cm="1">
        <f t="array" aca="1" ref="G105" ca="1">INDEX(Cities[Customer Type],RANDBETWEEN(1,3))</f>
        <v>Regular</v>
      </c>
    </row>
    <row r="106" spans="1:7" x14ac:dyDescent="0.3">
      <c r="A106" t="s">
        <v>278</v>
      </c>
      <c r="B106" t="str" cm="1">
        <f t="array" aca="1" ref="B106" ca="1">INDEX(FirstNames[First Name],RANDBETWEEN(1,30))&amp;" "&amp;INDEX(LastNames[Last Name],RANDBETWEEN(1,20))</f>
        <v>Aarav Ghosh</v>
      </c>
      <c r="C106" t="str">
        <f ca="1">_xlfn.XLOOKUP(LEFT(Customers[[#This Row],[Customer Name]],FIND(" ",Customers[[#This Row],[Customer Name]])-1),FirstNames[First Name],FirstNames[Gender])</f>
        <v>Male</v>
      </c>
      <c r="D106">
        <f t="shared" ca="1" si="1"/>
        <v>40</v>
      </c>
      <c r="E106" t="str" cm="1">
        <f t="array" aca="1" ref="E106" ca="1">INDEX(Cities[City],RANDBETWEEN(1,10))</f>
        <v>Chennai</v>
      </c>
      <c r="F106" t="str">
        <f ca="1">_xlfn.XLOOKUP(Customers[[#This Row],[City]],Cities[City],Cities[State])</f>
        <v>Tamil Nadu</v>
      </c>
      <c r="G106" t="str" cm="1">
        <f t="array" aca="1" ref="G106" ca="1">INDEX(Cities[Customer Type],RANDBETWEEN(1,3))</f>
        <v>Regular</v>
      </c>
    </row>
    <row r="107" spans="1:7" x14ac:dyDescent="0.3">
      <c r="A107" t="s">
        <v>279</v>
      </c>
      <c r="B107" t="str" cm="1">
        <f t="array" aca="1" ref="B107" ca="1">INDEX(FirstNames[First Name],RANDBETWEEN(1,30))&amp;" "&amp;INDEX(LastNames[Last Name],RANDBETWEEN(1,20))</f>
        <v>Nandhini Das</v>
      </c>
      <c r="C107" t="str">
        <f ca="1">_xlfn.XLOOKUP(LEFT(Customers[[#This Row],[Customer Name]],FIND(" ",Customers[[#This Row],[Customer Name]])-1),FirstNames[First Name],FirstNames[Gender])</f>
        <v>Female</v>
      </c>
      <c r="D107">
        <f t="shared" ca="1" si="1"/>
        <v>59</v>
      </c>
      <c r="E107" t="str" cm="1">
        <f t="array" aca="1" ref="E107" ca="1">INDEX(Cities[City],RANDBETWEEN(1,10))</f>
        <v>Kolkata</v>
      </c>
      <c r="F107" t="str">
        <f ca="1">_xlfn.XLOOKUP(Customers[[#This Row],[City]],Cities[City],Cities[State])</f>
        <v>West Bengal</v>
      </c>
      <c r="G107" t="str" cm="1">
        <f t="array" aca="1" ref="G107" ca="1">INDEX(Cities[Customer Type],RANDBETWEEN(1,3))</f>
        <v>Regular</v>
      </c>
    </row>
    <row r="108" spans="1:7" x14ac:dyDescent="0.3">
      <c r="A108" t="s">
        <v>280</v>
      </c>
      <c r="B108" t="str" cm="1">
        <f t="array" aca="1" ref="B108" ca="1">INDEX(FirstNames[First Name],RANDBETWEEN(1,30))&amp;" "&amp;INDEX(LastNames[Last Name],RANDBETWEEN(1,20))</f>
        <v>Karthik Singh</v>
      </c>
      <c r="C108" t="str">
        <f ca="1">_xlfn.XLOOKUP(LEFT(Customers[[#This Row],[Customer Name]],FIND(" ",Customers[[#This Row],[Customer Name]])-1),FirstNames[First Name],FirstNames[Gender])</f>
        <v>Male</v>
      </c>
      <c r="D108">
        <f t="shared" ca="1" si="1"/>
        <v>20</v>
      </c>
      <c r="E108" t="str" cm="1">
        <f t="array" aca="1" ref="E108" ca="1">INDEX(Cities[City],RANDBETWEEN(1,10))</f>
        <v>Ahmedabad</v>
      </c>
      <c r="F108" t="str">
        <f ca="1">_xlfn.XLOOKUP(Customers[[#This Row],[City]],Cities[City],Cities[State])</f>
        <v>Gujarat</v>
      </c>
      <c r="G108" t="str" cm="1">
        <f t="array" aca="1" ref="G108" ca="1">INDEX(Cities[Customer Type],RANDBETWEEN(1,3))</f>
        <v>Premium</v>
      </c>
    </row>
    <row r="109" spans="1:7" x14ac:dyDescent="0.3">
      <c r="A109" t="s">
        <v>281</v>
      </c>
      <c r="B109" t="str" cm="1">
        <f t="array" aca="1" ref="B109" ca="1">INDEX(FirstNames[First Name],RANDBETWEEN(1,30))&amp;" "&amp;INDEX(LastNames[Last Name],RANDBETWEEN(1,20))</f>
        <v>Abinaya Kumar</v>
      </c>
      <c r="C109" t="str">
        <f ca="1">_xlfn.XLOOKUP(LEFT(Customers[[#This Row],[Customer Name]],FIND(" ",Customers[[#This Row],[Customer Name]])-1),FirstNames[First Name],FirstNames[Gender])</f>
        <v>Female</v>
      </c>
      <c r="D109">
        <f t="shared" ca="1" si="1"/>
        <v>38</v>
      </c>
      <c r="E109" t="str" cm="1">
        <f t="array" aca="1" ref="E109" ca="1">INDEX(Cities[City],RANDBETWEEN(1,10))</f>
        <v>Chennai</v>
      </c>
      <c r="F109" t="str">
        <f ca="1">_xlfn.XLOOKUP(Customers[[#This Row],[City]],Cities[City],Cities[State])</f>
        <v>Tamil Nadu</v>
      </c>
      <c r="G109" t="str" cm="1">
        <f t="array" aca="1" ref="G109" ca="1">INDEX(Cities[Customer Type],RANDBETWEEN(1,3))</f>
        <v>VIP</v>
      </c>
    </row>
    <row r="110" spans="1:7" x14ac:dyDescent="0.3">
      <c r="A110" t="s">
        <v>282</v>
      </c>
      <c r="B110" t="str" cm="1">
        <f t="array" aca="1" ref="B110" ca="1">INDEX(FirstNames[First Name],RANDBETWEEN(1,30))&amp;" "&amp;INDEX(LastNames[Last Name],RANDBETWEEN(1,20))</f>
        <v>Rohan Yadav</v>
      </c>
      <c r="C110" t="str">
        <f ca="1">_xlfn.XLOOKUP(LEFT(Customers[[#This Row],[Customer Name]],FIND(" ",Customers[[#This Row],[Customer Name]])-1),FirstNames[First Name],FirstNames[Gender])</f>
        <v>Male</v>
      </c>
      <c r="D110">
        <f t="shared" ca="1" si="1"/>
        <v>49</v>
      </c>
      <c r="E110" t="str" cm="1">
        <f t="array" aca="1" ref="E110" ca="1">INDEX(Cities[City],RANDBETWEEN(1,10))</f>
        <v>Pune</v>
      </c>
      <c r="F110" t="str">
        <f ca="1">_xlfn.XLOOKUP(Customers[[#This Row],[City]],Cities[City],Cities[State])</f>
        <v>Maharashtra</v>
      </c>
      <c r="G110" t="str" cm="1">
        <f t="array" aca="1" ref="G110" ca="1">INDEX(Cities[Customer Type],RANDBETWEEN(1,3))</f>
        <v>Premium</v>
      </c>
    </row>
    <row r="111" spans="1:7" x14ac:dyDescent="0.3">
      <c r="A111" t="s">
        <v>283</v>
      </c>
      <c r="B111" t="str" cm="1">
        <f t="array" aca="1" ref="B111" ca="1">INDEX(FirstNames[First Name],RANDBETWEEN(1,30))&amp;" "&amp;INDEX(LastNames[Last Name],RANDBETWEEN(1,20))</f>
        <v>Vikram Das</v>
      </c>
      <c r="C111" t="str">
        <f ca="1">_xlfn.XLOOKUP(LEFT(Customers[[#This Row],[Customer Name]],FIND(" ",Customers[[#This Row],[Customer Name]])-1),FirstNames[First Name],FirstNames[Gender])</f>
        <v>Male</v>
      </c>
      <c r="D111">
        <f t="shared" ca="1" si="1"/>
        <v>36</v>
      </c>
      <c r="E111" t="str" cm="1">
        <f t="array" aca="1" ref="E111" ca="1">INDEX(Cities[City],RANDBETWEEN(1,10))</f>
        <v>Hyderabad</v>
      </c>
      <c r="F111" t="str">
        <f ca="1">_xlfn.XLOOKUP(Customers[[#This Row],[City]],Cities[City],Cities[State])</f>
        <v>Telangana</v>
      </c>
      <c r="G111" t="str" cm="1">
        <f t="array" aca="1" ref="G111" ca="1">INDEX(Cities[Customer Type],RANDBETWEEN(1,3))</f>
        <v>Premium</v>
      </c>
    </row>
    <row r="112" spans="1:7" x14ac:dyDescent="0.3">
      <c r="A112" t="s">
        <v>284</v>
      </c>
      <c r="B112" t="str" cm="1">
        <f t="array" aca="1" ref="B112" ca="1">INDEX(FirstNames[First Name],RANDBETWEEN(1,30))&amp;" "&amp;INDEX(LastNames[Last Name],RANDBETWEEN(1,20))</f>
        <v>Neha Srinivas</v>
      </c>
      <c r="C112" t="str">
        <f ca="1">_xlfn.XLOOKUP(LEFT(Customers[[#This Row],[Customer Name]],FIND(" ",Customers[[#This Row],[Customer Name]])-1),FirstNames[First Name],FirstNames[Gender])</f>
        <v>Female</v>
      </c>
      <c r="D112">
        <f t="shared" ca="1" si="1"/>
        <v>54</v>
      </c>
      <c r="E112" t="str" cm="1">
        <f t="array" aca="1" ref="E112" ca="1">INDEX(Cities[City],RANDBETWEEN(1,10))</f>
        <v>Jaipur</v>
      </c>
      <c r="F112" t="str">
        <f ca="1">_xlfn.XLOOKUP(Customers[[#This Row],[City]],Cities[City],Cities[State])</f>
        <v>Rajasthan</v>
      </c>
      <c r="G112" t="str" cm="1">
        <f t="array" aca="1" ref="G112" ca="1">INDEX(Cities[Customer Type],RANDBETWEEN(1,3))</f>
        <v>Premium</v>
      </c>
    </row>
    <row r="113" spans="1:7" x14ac:dyDescent="0.3">
      <c r="A113" t="s">
        <v>285</v>
      </c>
      <c r="B113" t="str" cm="1">
        <f t="array" aca="1" ref="B113" ca="1">INDEX(FirstNames[First Name],RANDBETWEEN(1,30))&amp;" "&amp;INDEX(LastNames[Last Name],RANDBETWEEN(1,20))</f>
        <v>Aditya Joshi</v>
      </c>
      <c r="C113" t="str">
        <f ca="1">_xlfn.XLOOKUP(LEFT(Customers[[#This Row],[Customer Name]],FIND(" ",Customers[[#This Row],[Customer Name]])-1),FirstNames[First Name],FirstNames[Gender])</f>
        <v>Male</v>
      </c>
      <c r="D113">
        <f t="shared" ca="1" si="1"/>
        <v>53</v>
      </c>
      <c r="E113" t="str" cm="1">
        <f t="array" aca="1" ref="E113" ca="1">INDEX(Cities[City],RANDBETWEEN(1,10))</f>
        <v>Lucknow</v>
      </c>
      <c r="F113" t="str">
        <f ca="1">_xlfn.XLOOKUP(Customers[[#This Row],[City]],Cities[City],Cities[State])</f>
        <v>Uttar Pradesh</v>
      </c>
      <c r="G113" t="str" cm="1">
        <f t="array" aca="1" ref="G113" ca="1">INDEX(Cities[Customer Type],RANDBETWEEN(1,3))</f>
        <v>VIP</v>
      </c>
    </row>
    <row r="114" spans="1:7" x14ac:dyDescent="0.3">
      <c r="A114" t="s">
        <v>286</v>
      </c>
      <c r="B114" t="str" cm="1">
        <f t="array" aca="1" ref="B114" ca="1">INDEX(FirstNames[First Name],RANDBETWEEN(1,30))&amp;" "&amp;INDEX(LastNames[Last Name],RANDBETWEEN(1,20))</f>
        <v>Nandhini Kumar</v>
      </c>
      <c r="C114" t="str">
        <f ca="1">_xlfn.XLOOKUP(LEFT(Customers[[#This Row],[Customer Name]],FIND(" ",Customers[[#This Row],[Customer Name]])-1),FirstNames[First Name],FirstNames[Gender])</f>
        <v>Female</v>
      </c>
      <c r="D114">
        <f t="shared" ca="1" si="1"/>
        <v>38</v>
      </c>
      <c r="E114" t="str" cm="1">
        <f t="array" aca="1" ref="E114" ca="1">INDEX(Cities[City],RANDBETWEEN(1,10))</f>
        <v>Kolkata</v>
      </c>
      <c r="F114" t="str">
        <f ca="1">_xlfn.XLOOKUP(Customers[[#This Row],[City]],Cities[City],Cities[State])</f>
        <v>West Bengal</v>
      </c>
      <c r="G114" t="str" cm="1">
        <f t="array" aca="1" ref="G114" ca="1">INDEX(Cities[Customer Type],RANDBETWEEN(1,3))</f>
        <v>Regular</v>
      </c>
    </row>
    <row r="115" spans="1:7" x14ac:dyDescent="0.3">
      <c r="A115" t="s">
        <v>287</v>
      </c>
      <c r="B115" t="str" cm="1">
        <f t="array" aca="1" ref="B115" ca="1">INDEX(FirstNames[First Name],RANDBETWEEN(1,30))&amp;" "&amp;INDEX(LastNames[Last Name],RANDBETWEEN(1,20))</f>
        <v>Deepika Gupta</v>
      </c>
      <c r="C115" t="str">
        <f ca="1">_xlfn.XLOOKUP(LEFT(Customers[[#This Row],[Customer Name]],FIND(" ",Customers[[#This Row],[Customer Name]])-1),FirstNames[First Name],FirstNames[Gender])</f>
        <v>Female</v>
      </c>
      <c r="D115">
        <f t="shared" ca="1" si="1"/>
        <v>50</v>
      </c>
      <c r="E115" t="str" cm="1">
        <f t="array" aca="1" ref="E115" ca="1">INDEX(Cities[City],RANDBETWEEN(1,10))</f>
        <v>Lucknow</v>
      </c>
      <c r="F115" t="str">
        <f ca="1">_xlfn.XLOOKUP(Customers[[#This Row],[City]],Cities[City],Cities[State])</f>
        <v>Uttar Pradesh</v>
      </c>
      <c r="G115" t="str" cm="1">
        <f t="array" aca="1" ref="G115" ca="1">INDEX(Cities[Customer Type],RANDBETWEEN(1,3))</f>
        <v>VIP</v>
      </c>
    </row>
    <row r="116" spans="1:7" x14ac:dyDescent="0.3">
      <c r="A116" t="s">
        <v>288</v>
      </c>
      <c r="B116" t="str" cm="1">
        <f t="array" aca="1" ref="B116" ca="1">INDEX(FirstNames[First Name],RANDBETWEEN(1,30))&amp;" "&amp;INDEX(LastNames[Last Name],RANDBETWEEN(1,20))</f>
        <v>Meera Reddy</v>
      </c>
      <c r="C116" t="str">
        <f ca="1">_xlfn.XLOOKUP(LEFT(Customers[[#This Row],[Customer Name]],FIND(" ",Customers[[#This Row],[Customer Name]])-1),FirstNames[First Name],FirstNames[Gender])</f>
        <v>Female</v>
      </c>
      <c r="D116">
        <f t="shared" ca="1" si="1"/>
        <v>32</v>
      </c>
      <c r="E116" t="str" cm="1">
        <f t="array" aca="1" ref="E116" ca="1">INDEX(Cities[City],RANDBETWEEN(1,10))</f>
        <v>Bengaluru</v>
      </c>
      <c r="F116" t="str">
        <f ca="1">_xlfn.XLOOKUP(Customers[[#This Row],[City]],Cities[City],Cities[State])</f>
        <v>Karnataka</v>
      </c>
      <c r="G116" t="str" cm="1">
        <f t="array" aca="1" ref="G116" ca="1">INDEX(Cities[Customer Type],RANDBETWEEN(1,3))</f>
        <v>Regular</v>
      </c>
    </row>
    <row r="117" spans="1:7" x14ac:dyDescent="0.3">
      <c r="A117" t="s">
        <v>289</v>
      </c>
      <c r="B117" t="str" cm="1">
        <f t="array" aca="1" ref="B117" ca="1">INDEX(FirstNames[First Name],RANDBETWEEN(1,30))&amp;" "&amp;INDEX(LastNames[Last Name],RANDBETWEEN(1,20))</f>
        <v>Ananya Mehta</v>
      </c>
      <c r="C117" t="str">
        <f ca="1">_xlfn.XLOOKUP(LEFT(Customers[[#This Row],[Customer Name]],FIND(" ",Customers[[#This Row],[Customer Name]])-1),FirstNames[First Name],FirstNames[Gender])</f>
        <v>Female</v>
      </c>
      <c r="D117">
        <f t="shared" ca="1" si="1"/>
        <v>50</v>
      </c>
      <c r="E117" t="str" cm="1">
        <f t="array" aca="1" ref="E117" ca="1">INDEX(Cities[City],RANDBETWEEN(1,10))</f>
        <v>Hyderabad</v>
      </c>
      <c r="F117" t="str">
        <f ca="1">_xlfn.XLOOKUP(Customers[[#This Row],[City]],Cities[City],Cities[State])</f>
        <v>Telangana</v>
      </c>
      <c r="G117" t="str" cm="1">
        <f t="array" aca="1" ref="G117" ca="1">INDEX(Cities[Customer Type],RANDBETWEEN(1,3))</f>
        <v>Premium</v>
      </c>
    </row>
    <row r="118" spans="1:7" x14ac:dyDescent="0.3">
      <c r="A118" t="s">
        <v>290</v>
      </c>
      <c r="B118" t="str" cm="1">
        <f t="array" aca="1" ref="B118" ca="1">INDEX(FirstNames[First Name],RANDBETWEEN(1,30))&amp;" "&amp;INDEX(LastNames[Last Name],RANDBETWEEN(1,20))</f>
        <v>Nandhini Joshi</v>
      </c>
      <c r="C118" t="str">
        <f ca="1">_xlfn.XLOOKUP(LEFT(Customers[[#This Row],[Customer Name]],FIND(" ",Customers[[#This Row],[Customer Name]])-1),FirstNames[First Name],FirstNames[Gender])</f>
        <v>Female</v>
      </c>
      <c r="D118">
        <f t="shared" ca="1" si="1"/>
        <v>56</v>
      </c>
      <c r="E118" t="str" cm="1">
        <f t="array" aca="1" ref="E118" ca="1">INDEX(Cities[City],RANDBETWEEN(1,10))</f>
        <v>Jaipur</v>
      </c>
      <c r="F118" t="str">
        <f ca="1">_xlfn.XLOOKUP(Customers[[#This Row],[City]],Cities[City],Cities[State])</f>
        <v>Rajasthan</v>
      </c>
      <c r="G118" t="str" cm="1">
        <f t="array" aca="1" ref="G118" ca="1">INDEX(Cities[Customer Type],RANDBETWEEN(1,3))</f>
        <v>Regular</v>
      </c>
    </row>
    <row r="119" spans="1:7" x14ac:dyDescent="0.3">
      <c r="A119" t="s">
        <v>291</v>
      </c>
      <c r="B119" t="str" cm="1">
        <f t="array" aca="1" ref="B119" ca="1">INDEX(FirstNames[First Name],RANDBETWEEN(1,30))&amp;" "&amp;INDEX(LastNames[Last Name],RANDBETWEEN(1,20))</f>
        <v>Neha Iyer</v>
      </c>
      <c r="C119" t="str">
        <f ca="1">_xlfn.XLOOKUP(LEFT(Customers[[#This Row],[Customer Name]],FIND(" ",Customers[[#This Row],[Customer Name]])-1),FirstNames[First Name],FirstNames[Gender])</f>
        <v>Female</v>
      </c>
      <c r="D119">
        <f t="shared" ca="1" si="1"/>
        <v>33</v>
      </c>
      <c r="E119" t="str" cm="1">
        <f t="array" aca="1" ref="E119" ca="1">INDEX(Cities[City],RANDBETWEEN(1,10))</f>
        <v>Pune</v>
      </c>
      <c r="F119" t="str">
        <f ca="1">_xlfn.XLOOKUP(Customers[[#This Row],[City]],Cities[City],Cities[State])</f>
        <v>Maharashtra</v>
      </c>
      <c r="G119" t="str" cm="1">
        <f t="array" aca="1" ref="G119" ca="1">INDEX(Cities[Customer Type],RANDBETWEEN(1,3))</f>
        <v>Premium</v>
      </c>
    </row>
    <row r="120" spans="1:7" x14ac:dyDescent="0.3">
      <c r="A120" t="s">
        <v>292</v>
      </c>
      <c r="B120" t="str" cm="1">
        <f t="array" aca="1" ref="B120" ca="1">INDEX(FirstNames[First Name],RANDBETWEEN(1,30))&amp;" "&amp;INDEX(LastNames[Last Name],RANDBETWEEN(1,20))</f>
        <v>Karthik Patel</v>
      </c>
      <c r="C120" t="str">
        <f ca="1">_xlfn.XLOOKUP(LEFT(Customers[[#This Row],[Customer Name]],FIND(" ",Customers[[#This Row],[Customer Name]])-1),FirstNames[First Name],FirstNames[Gender])</f>
        <v>Male</v>
      </c>
      <c r="D120">
        <f t="shared" ca="1" si="1"/>
        <v>18</v>
      </c>
      <c r="E120" t="str" cm="1">
        <f t="array" aca="1" ref="E120" ca="1">INDEX(Cities[City],RANDBETWEEN(1,10))</f>
        <v>Pune</v>
      </c>
      <c r="F120" t="str">
        <f ca="1">_xlfn.XLOOKUP(Customers[[#This Row],[City]],Cities[City],Cities[State])</f>
        <v>Maharashtra</v>
      </c>
      <c r="G120" t="str" cm="1">
        <f t="array" aca="1" ref="G120" ca="1">INDEX(Cities[Customer Type],RANDBETWEEN(1,3))</f>
        <v>VIP</v>
      </c>
    </row>
    <row r="121" spans="1:7" x14ac:dyDescent="0.3">
      <c r="A121" t="s">
        <v>293</v>
      </c>
      <c r="B121" t="str" cm="1">
        <f t="array" aca="1" ref="B121" ca="1">INDEX(FirstNames[First Name],RANDBETWEEN(1,30))&amp;" "&amp;INDEX(LastNames[Last Name],RANDBETWEEN(1,20))</f>
        <v>Ananya Das</v>
      </c>
      <c r="C121" t="str">
        <f ca="1">_xlfn.XLOOKUP(LEFT(Customers[[#This Row],[Customer Name]],FIND(" ",Customers[[#This Row],[Customer Name]])-1),FirstNames[First Name],FirstNames[Gender])</f>
        <v>Female</v>
      </c>
      <c r="D121">
        <f t="shared" ca="1" si="1"/>
        <v>46</v>
      </c>
      <c r="E121" t="str" cm="1">
        <f t="array" aca="1" ref="E121" ca="1">INDEX(Cities[City],RANDBETWEEN(1,10))</f>
        <v>Jaipur</v>
      </c>
      <c r="F121" t="str">
        <f ca="1">_xlfn.XLOOKUP(Customers[[#This Row],[City]],Cities[City],Cities[State])</f>
        <v>Rajasthan</v>
      </c>
      <c r="G121" t="str" cm="1">
        <f t="array" aca="1" ref="G121" ca="1">INDEX(Cities[Customer Type],RANDBETWEEN(1,3))</f>
        <v>Premium</v>
      </c>
    </row>
    <row r="122" spans="1:7" x14ac:dyDescent="0.3">
      <c r="A122" t="s">
        <v>294</v>
      </c>
      <c r="B122" t="str" cm="1">
        <f t="array" aca="1" ref="B122" ca="1">INDEX(FirstNames[First Name],RANDBETWEEN(1,30))&amp;" "&amp;INDEX(LastNames[Last Name],RANDBETWEEN(1,20))</f>
        <v>Priya Reddy</v>
      </c>
      <c r="C122" t="str">
        <f ca="1">_xlfn.XLOOKUP(LEFT(Customers[[#This Row],[Customer Name]],FIND(" ",Customers[[#This Row],[Customer Name]])-1),FirstNames[First Name],FirstNames[Gender])</f>
        <v>Female</v>
      </c>
      <c r="D122">
        <f t="shared" ca="1" si="1"/>
        <v>56</v>
      </c>
      <c r="E122" t="str" cm="1">
        <f t="array" aca="1" ref="E122" ca="1">INDEX(Cities[City],RANDBETWEEN(1,10))</f>
        <v>Lucknow</v>
      </c>
      <c r="F122" t="str">
        <f ca="1">_xlfn.XLOOKUP(Customers[[#This Row],[City]],Cities[City],Cities[State])</f>
        <v>Uttar Pradesh</v>
      </c>
      <c r="G122" t="str" cm="1">
        <f t="array" aca="1" ref="G122" ca="1">INDEX(Cities[Customer Type],RANDBETWEEN(1,3))</f>
        <v>Premium</v>
      </c>
    </row>
    <row r="123" spans="1:7" x14ac:dyDescent="0.3">
      <c r="A123" t="s">
        <v>295</v>
      </c>
      <c r="B123" t="str" cm="1">
        <f t="array" aca="1" ref="B123" ca="1">INDEX(FirstNames[First Name],RANDBETWEEN(1,30))&amp;" "&amp;INDEX(LastNames[Last Name],RANDBETWEEN(1,20))</f>
        <v>Sneha Patel</v>
      </c>
      <c r="C123" t="str">
        <f ca="1">_xlfn.XLOOKUP(LEFT(Customers[[#This Row],[Customer Name]],FIND(" ",Customers[[#This Row],[Customer Name]])-1),FirstNames[First Name],FirstNames[Gender])</f>
        <v>Female</v>
      </c>
      <c r="D123">
        <f t="shared" ca="1" si="1"/>
        <v>58</v>
      </c>
      <c r="E123" t="str" cm="1">
        <f t="array" aca="1" ref="E123" ca="1">INDEX(Cities[City],RANDBETWEEN(1,10))</f>
        <v>Pune</v>
      </c>
      <c r="F123" t="str">
        <f ca="1">_xlfn.XLOOKUP(Customers[[#This Row],[City]],Cities[City],Cities[State])</f>
        <v>Maharashtra</v>
      </c>
      <c r="G123" t="str" cm="1">
        <f t="array" aca="1" ref="G123" ca="1">INDEX(Cities[Customer Type],RANDBETWEEN(1,3))</f>
        <v>Regular</v>
      </c>
    </row>
    <row r="124" spans="1:7" x14ac:dyDescent="0.3">
      <c r="A124" t="s">
        <v>296</v>
      </c>
      <c r="B124" t="str" cm="1">
        <f t="array" aca="1" ref="B124" ca="1">INDEX(FirstNames[First Name],RANDBETWEEN(1,30))&amp;" "&amp;INDEX(LastNames[Last Name],RANDBETWEEN(1,20))</f>
        <v>Aditya Joshi</v>
      </c>
      <c r="C124" t="str">
        <f ca="1">_xlfn.XLOOKUP(LEFT(Customers[[#This Row],[Customer Name]],FIND(" ",Customers[[#This Row],[Customer Name]])-1),FirstNames[First Name],FirstNames[Gender])</f>
        <v>Male</v>
      </c>
      <c r="D124">
        <f t="shared" ca="1" si="1"/>
        <v>48</v>
      </c>
      <c r="E124" t="str" cm="1">
        <f t="array" aca="1" ref="E124" ca="1">INDEX(Cities[City],RANDBETWEEN(1,10))</f>
        <v>Mumbai</v>
      </c>
      <c r="F124" t="str">
        <f ca="1">_xlfn.XLOOKUP(Customers[[#This Row],[City]],Cities[City],Cities[State])</f>
        <v>Maharashtra</v>
      </c>
      <c r="G124" t="str" cm="1">
        <f t="array" aca="1" ref="G124" ca="1">INDEX(Cities[Customer Type],RANDBETWEEN(1,3))</f>
        <v>VIP</v>
      </c>
    </row>
    <row r="125" spans="1:7" x14ac:dyDescent="0.3">
      <c r="A125" t="s">
        <v>297</v>
      </c>
      <c r="B125" t="str" cm="1">
        <f t="array" aca="1" ref="B125" ca="1">INDEX(FirstNames[First Name],RANDBETWEEN(1,30))&amp;" "&amp;INDEX(LastNames[Last Name],RANDBETWEEN(1,20))</f>
        <v>Rohan Sharma</v>
      </c>
      <c r="C125" t="str">
        <f ca="1">_xlfn.XLOOKUP(LEFT(Customers[[#This Row],[Customer Name]],FIND(" ",Customers[[#This Row],[Customer Name]])-1),FirstNames[First Name],FirstNames[Gender])</f>
        <v>Male</v>
      </c>
      <c r="D125">
        <f t="shared" ca="1" si="1"/>
        <v>41</v>
      </c>
      <c r="E125" t="str" cm="1">
        <f t="array" aca="1" ref="E125" ca="1">INDEX(Cities[City],RANDBETWEEN(1,10))</f>
        <v>Bengaluru</v>
      </c>
      <c r="F125" t="str">
        <f ca="1">_xlfn.XLOOKUP(Customers[[#This Row],[City]],Cities[City],Cities[State])</f>
        <v>Karnataka</v>
      </c>
      <c r="G125" t="str" cm="1">
        <f t="array" aca="1" ref="G125" ca="1">INDEX(Cities[Customer Type],RANDBETWEEN(1,3))</f>
        <v>VIP</v>
      </c>
    </row>
    <row r="126" spans="1:7" x14ac:dyDescent="0.3">
      <c r="A126" t="s">
        <v>298</v>
      </c>
      <c r="B126" t="str" cm="1">
        <f t="array" aca="1" ref="B126" ca="1">INDEX(FirstNames[First Name],RANDBETWEEN(1,30))&amp;" "&amp;INDEX(LastNames[Last Name],RANDBETWEEN(1,20))</f>
        <v>Vikram Srinivas</v>
      </c>
      <c r="C126" t="str">
        <f ca="1">_xlfn.XLOOKUP(LEFT(Customers[[#This Row],[Customer Name]],FIND(" ",Customers[[#This Row],[Customer Name]])-1),FirstNames[First Name],FirstNames[Gender])</f>
        <v>Male</v>
      </c>
      <c r="D126">
        <f t="shared" ca="1" si="1"/>
        <v>39</v>
      </c>
      <c r="E126" t="str" cm="1">
        <f t="array" aca="1" ref="E126" ca="1">INDEX(Cities[City],RANDBETWEEN(1,10))</f>
        <v>Bengaluru</v>
      </c>
      <c r="F126" t="str">
        <f ca="1">_xlfn.XLOOKUP(Customers[[#This Row],[City]],Cities[City],Cities[State])</f>
        <v>Karnataka</v>
      </c>
      <c r="G126" t="str" cm="1">
        <f t="array" aca="1" ref="G126" ca="1">INDEX(Cities[Customer Type],RANDBETWEEN(1,3))</f>
        <v>Premium</v>
      </c>
    </row>
    <row r="127" spans="1:7" x14ac:dyDescent="0.3">
      <c r="A127" t="s">
        <v>299</v>
      </c>
      <c r="B127" t="str" cm="1">
        <f t="array" aca="1" ref="B127" ca="1">INDEX(FirstNames[First Name],RANDBETWEEN(1,30))&amp;" "&amp;INDEX(LastNames[Last Name],RANDBETWEEN(1,20))</f>
        <v>Nitin Khan</v>
      </c>
      <c r="C127" t="str">
        <f ca="1">_xlfn.XLOOKUP(LEFT(Customers[[#This Row],[Customer Name]],FIND(" ",Customers[[#This Row],[Customer Name]])-1),FirstNames[First Name],FirstNames[Gender])</f>
        <v>Male</v>
      </c>
      <c r="D127">
        <f t="shared" ca="1" si="1"/>
        <v>27</v>
      </c>
      <c r="E127" t="str" cm="1">
        <f t="array" aca="1" ref="E127" ca="1">INDEX(Cities[City],RANDBETWEEN(1,10))</f>
        <v>Pune</v>
      </c>
      <c r="F127" t="str">
        <f ca="1">_xlfn.XLOOKUP(Customers[[#This Row],[City]],Cities[City],Cities[State])</f>
        <v>Maharashtra</v>
      </c>
      <c r="G127" t="str" cm="1">
        <f t="array" aca="1" ref="G127" ca="1">INDEX(Cities[Customer Type],RANDBETWEEN(1,3))</f>
        <v>VIP</v>
      </c>
    </row>
    <row r="128" spans="1:7" x14ac:dyDescent="0.3">
      <c r="A128" t="s">
        <v>300</v>
      </c>
      <c r="B128" t="str" cm="1">
        <f t="array" aca="1" ref="B128" ca="1">INDEX(FirstNames[First Name],RANDBETWEEN(1,30))&amp;" "&amp;INDEX(LastNames[Last Name],RANDBETWEEN(1,20))</f>
        <v>Harini Ghosh</v>
      </c>
      <c r="C128" t="str">
        <f ca="1">_xlfn.XLOOKUP(LEFT(Customers[[#This Row],[Customer Name]],FIND(" ",Customers[[#This Row],[Customer Name]])-1),FirstNames[First Name],FirstNames[Gender])</f>
        <v>Female</v>
      </c>
      <c r="D128">
        <f t="shared" ca="1" si="1"/>
        <v>59</v>
      </c>
      <c r="E128" t="str" cm="1">
        <f t="array" aca="1" ref="E128" ca="1">INDEX(Cities[City],RANDBETWEEN(1,10))</f>
        <v>Kochi</v>
      </c>
      <c r="F128" t="str">
        <f ca="1">_xlfn.XLOOKUP(Customers[[#This Row],[City]],Cities[City],Cities[State])</f>
        <v>Kerala</v>
      </c>
      <c r="G128" t="str" cm="1">
        <f t="array" aca="1" ref="G128" ca="1">INDEX(Cities[Customer Type],RANDBETWEEN(1,3))</f>
        <v>Premium</v>
      </c>
    </row>
    <row r="129" spans="1:7" x14ac:dyDescent="0.3">
      <c r="A129" t="s">
        <v>301</v>
      </c>
      <c r="B129" t="str" cm="1">
        <f t="array" aca="1" ref="B129" ca="1">INDEX(FirstNames[First Name],RANDBETWEEN(1,30))&amp;" "&amp;INDEX(LastNames[Last Name],RANDBETWEEN(1,20))</f>
        <v>Rohan Rao</v>
      </c>
      <c r="C129" t="str">
        <f ca="1">_xlfn.XLOOKUP(LEFT(Customers[[#This Row],[Customer Name]],FIND(" ",Customers[[#This Row],[Customer Name]])-1),FirstNames[First Name],FirstNames[Gender])</f>
        <v>Male</v>
      </c>
      <c r="D129">
        <f t="shared" ca="1" si="1"/>
        <v>37</v>
      </c>
      <c r="E129" t="str" cm="1">
        <f t="array" aca="1" ref="E129" ca="1">INDEX(Cities[City],RANDBETWEEN(1,10))</f>
        <v>Jaipur</v>
      </c>
      <c r="F129" t="str">
        <f ca="1">_xlfn.XLOOKUP(Customers[[#This Row],[City]],Cities[City],Cities[State])</f>
        <v>Rajasthan</v>
      </c>
      <c r="G129" t="str" cm="1">
        <f t="array" aca="1" ref="G129" ca="1">INDEX(Cities[Customer Type],RANDBETWEEN(1,3))</f>
        <v>Premium</v>
      </c>
    </row>
    <row r="130" spans="1:7" x14ac:dyDescent="0.3">
      <c r="A130" t="s">
        <v>302</v>
      </c>
      <c r="B130" t="str" cm="1">
        <f t="array" aca="1" ref="B130" ca="1">INDEX(FirstNames[First Name],RANDBETWEEN(1,30))&amp;" "&amp;INDEX(LastNames[Last Name],RANDBETWEEN(1,20))</f>
        <v>Harini Das</v>
      </c>
      <c r="C130" t="str">
        <f ca="1">_xlfn.XLOOKUP(LEFT(Customers[[#This Row],[Customer Name]],FIND(" ",Customers[[#This Row],[Customer Name]])-1),FirstNames[First Name],FirstNames[Gender])</f>
        <v>Female</v>
      </c>
      <c r="D130">
        <f t="shared" ca="1" si="1"/>
        <v>30</v>
      </c>
      <c r="E130" t="str" cm="1">
        <f t="array" aca="1" ref="E130" ca="1">INDEX(Cities[City],RANDBETWEEN(1,10))</f>
        <v>Lucknow</v>
      </c>
      <c r="F130" t="str">
        <f ca="1">_xlfn.XLOOKUP(Customers[[#This Row],[City]],Cities[City],Cities[State])</f>
        <v>Uttar Pradesh</v>
      </c>
      <c r="G130" t="str" cm="1">
        <f t="array" aca="1" ref="G130" ca="1">INDEX(Cities[Customer Type],RANDBETWEEN(1,3))</f>
        <v>VIP</v>
      </c>
    </row>
    <row r="131" spans="1:7" x14ac:dyDescent="0.3">
      <c r="A131" t="s">
        <v>303</v>
      </c>
      <c r="B131" t="str" cm="1">
        <f t="array" aca="1" ref="B131" ca="1">INDEX(FirstNames[First Name],RANDBETWEEN(1,30))&amp;" "&amp;INDEX(LastNames[Last Name],RANDBETWEEN(1,20))</f>
        <v>Suresh Ghosh</v>
      </c>
      <c r="C131" t="str">
        <f ca="1">_xlfn.XLOOKUP(LEFT(Customers[[#This Row],[Customer Name]],FIND(" ",Customers[[#This Row],[Customer Name]])-1),FirstNames[First Name],FirstNames[Gender])</f>
        <v>Male</v>
      </c>
      <c r="D131">
        <f t="shared" ca="1" si="1"/>
        <v>50</v>
      </c>
      <c r="E131" t="str" cm="1">
        <f t="array" aca="1" ref="E131" ca="1">INDEX(Cities[City],RANDBETWEEN(1,10))</f>
        <v>Pune</v>
      </c>
      <c r="F131" t="str">
        <f ca="1">_xlfn.XLOOKUP(Customers[[#This Row],[City]],Cities[City],Cities[State])</f>
        <v>Maharashtra</v>
      </c>
      <c r="G131" t="str" cm="1">
        <f t="array" aca="1" ref="G131" ca="1">INDEX(Cities[Customer Type],RANDBETWEEN(1,3))</f>
        <v>Premium</v>
      </c>
    </row>
    <row r="132" spans="1:7" x14ac:dyDescent="0.3">
      <c r="A132" t="s">
        <v>304</v>
      </c>
      <c r="B132" t="str" cm="1">
        <f t="array" aca="1" ref="B132" ca="1">INDEX(FirstNames[First Name],RANDBETWEEN(1,30))&amp;" "&amp;INDEX(LastNames[Last Name],RANDBETWEEN(1,20))</f>
        <v>Keerthana Ghosh</v>
      </c>
      <c r="C132" t="str">
        <f ca="1">_xlfn.XLOOKUP(LEFT(Customers[[#This Row],[Customer Name]],FIND(" ",Customers[[#This Row],[Customer Name]])-1),FirstNames[First Name],FirstNames[Gender])</f>
        <v>Female</v>
      </c>
      <c r="D132">
        <f t="shared" ca="1" si="1"/>
        <v>24</v>
      </c>
      <c r="E132" t="str" cm="1">
        <f t="array" aca="1" ref="E132" ca="1">INDEX(Cities[City],RANDBETWEEN(1,10))</f>
        <v>Jaipur</v>
      </c>
      <c r="F132" t="str">
        <f ca="1">_xlfn.XLOOKUP(Customers[[#This Row],[City]],Cities[City],Cities[State])</f>
        <v>Rajasthan</v>
      </c>
      <c r="G132" t="str" cm="1">
        <f t="array" aca="1" ref="G132" ca="1">INDEX(Cities[Customer Type],RANDBETWEEN(1,3))</f>
        <v>Premium</v>
      </c>
    </row>
    <row r="133" spans="1:7" x14ac:dyDescent="0.3">
      <c r="A133" t="s">
        <v>305</v>
      </c>
      <c r="B133" t="str" cm="1">
        <f t="array" aca="1" ref="B133" ca="1">INDEX(FirstNames[First Name],RANDBETWEEN(1,30))&amp;" "&amp;INDEX(LastNames[Last Name],RANDBETWEEN(1,20))</f>
        <v>Meera Das</v>
      </c>
      <c r="C133" t="str">
        <f ca="1">_xlfn.XLOOKUP(LEFT(Customers[[#This Row],[Customer Name]],FIND(" ",Customers[[#This Row],[Customer Name]])-1),FirstNames[First Name],FirstNames[Gender])</f>
        <v>Female</v>
      </c>
      <c r="D133">
        <f t="shared" ca="1" si="1"/>
        <v>49</v>
      </c>
      <c r="E133" t="str" cm="1">
        <f t="array" aca="1" ref="E133" ca="1">INDEX(Cities[City],RANDBETWEEN(1,10))</f>
        <v>Lucknow</v>
      </c>
      <c r="F133" t="str">
        <f ca="1">_xlfn.XLOOKUP(Customers[[#This Row],[City]],Cities[City],Cities[State])</f>
        <v>Uttar Pradesh</v>
      </c>
      <c r="G133" t="str" cm="1">
        <f t="array" aca="1" ref="G133" ca="1">INDEX(Cities[Customer Type],RANDBETWEEN(1,3))</f>
        <v>Premium</v>
      </c>
    </row>
    <row r="134" spans="1:7" x14ac:dyDescent="0.3">
      <c r="A134" t="s">
        <v>306</v>
      </c>
      <c r="B134" t="str" cm="1">
        <f t="array" aca="1" ref="B134" ca="1">INDEX(FirstNames[First Name],RANDBETWEEN(1,30))&amp;" "&amp;INDEX(LastNames[Last Name],RANDBETWEEN(1,20))</f>
        <v>Vikram Kapoor</v>
      </c>
      <c r="C134" t="str">
        <f ca="1">_xlfn.XLOOKUP(LEFT(Customers[[#This Row],[Customer Name]],FIND(" ",Customers[[#This Row],[Customer Name]])-1),FirstNames[First Name],FirstNames[Gender])</f>
        <v>Male</v>
      </c>
      <c r="D134">
        <f t="shared" ca="1" si="1"/>
        <v>51</v>
      </c>
      <c r="E134" t="str" cm="1">
        <f t="array" aca="1" ref="E134" ca="1">INDEX(Cities[City],RANDBETWEEN(1,10))</f>
        <v>Pune</v>
      </c>
      <c r="F134" t="str">
        <f ca="1">_xlfn.XLOOKUP(Customers[[#This Row],[City]],Cities[City],Cities[State])</f>
        <v>Maharashtra</v>
      </c>
      <c r="G134" t="str" cm="1">
        <f t="array" aca="1" ref="G134" ca="1">INDEX(Cities[Customer Type],RANDBETWEEN(1,3))</f>
        <v>Premium</v>
      </c>
    </row>
    <row r="135" spans="1:7" x14ac:dyDescent="0.3">
      <c r="A135" t="s">
        <v>307</v>
      </c>
      <c r="B135" t="str" cm="1">
        <f t="array" aca="1" ref="B135" ca="1">INDEX(FirstNames[First Name],RANDBETWEEN(1,30))&amp;" "&amp;INDEX(LastNames[Last Name],RANDBETWEEN(1,20))</f>
        <v>Anjali Patel</v>
      </c>
      <c r="C135" t="str">
        <f ca="1">_xlfn.XLOOKUP(LEFT(Customers[[#This Row],[Customer Name]],FIND(" ",Customers[[#This Row],[Customer Name]])-1),FirstNames[First Name],FirstNames[Gender])</f>
        <v>Female</v>
      </c>
      <c r="D135">
        <f t="shared" ca="1" si="1"/>
        <v>24</v>
      </c>
      <c r="E135" t="str" cm="1">
        <f t="array" aca="1" ref="E135" ca="1">INDEX(Cities[City],RANDBETWEEN(1,10))</f>
        <v>Kochi</v>
      </c>
      <c r="F135" t="str">
        <f ca="1">_xlfn.XLOOKUP(Customers[[#This Row],[City]],Cities[City],Cities[State])</f>
        <v>Kerala</v>
      </c>
      <c r="G135" t="str" cm="1">
        <f t="array" aca="1" ref="G135" ca="1">INDEX(Cities[Customer Type],RANDBETWEEN(1,3))</f>
        <v>Premium</v>
      </c>
    </row>
    <row r="136" spans="1:7" x14ac:dyDescent="0.3">
      <c r="A136" t="s">
        <v>308</v>
      </c>
      <c r="B136" t="str" cm="1">
        <f t="array" aca="1" ref="B136" ca="1">INDEX(FirstNames[First Name],RANDBETWEEN(1,30))&amp;" "&amp;INDEX(LastNames[Last Name],RANDBETWEEN(1,20))</f>
        <v>Vikram Kumar</v>
      </c>
      <c r="C136" t="str">
        <f ca="1">_xlfn.XLOOKUP(LEFT(Customers[[#This Row],[Customer Name]],FIND(" ",Customers[[#This Row],[Customer Name]])-1),FirstNames[First Name],FirstNames[Gender])</f>
        <v>Male</v>
      </c>
      <c r="D136">
        <f t="shared" ca="1" si="1"/>
        <v>18</v>
      </c>
      <c r="E136" t="str" cm="1">
        <f t="array" aca="1" ref="E136" ca="1">INDEX(Cities[City],RANDBETWEEN(1,10))</f>
        <v>Kolkata</v>
      </c>
      <c r="F136" t="str">
        <f ca="1">_xlfn.XLOOKUP(Customers[[#This Row],[City]],Cities[City],Cities[State])</f>
        <v>West Bengal</v>
      </c>
      <c r="G136" t="str" cm="1">
        <f t="array" aca="1" ref="G136" ca="1">INDEX(Cities[Customer Type],RANDBETWEEN(1,3))</f>
        <v>Regular</v>
      </c>
    </row>
    <row r="137" spans="1:7" x14ac:dyDescent="0.3">
      <c r="A137" t="s">
        <v>309</v>
      </c>
      <c r="B137" t="str" cm="1">
        <f t="array" aca="1" ref="B137" ca="1">INDEX(FirstNames[First Name],RANDBETWEEN(1,30))&amp;" "&amp;INDEX(LastNames[Last Name],RANDBETWEEN(1,20))</f>
        <v>Neha Das</v>
      </c>
      <c r="C137" t="str">
        <f ca="1">_xlfn.XLOOKUP(LEFT(Customers[[#This Row],[Customer Name]],FIND(" ",Customers[[#This Row],[Customer Name]])-1),FirstNames[First Name],FirstNames[Gender])</f>
        <v>Female</v>
      </c>
      <c r="D137">
        <f t="shared" ca="1" si="1"/>
        <v>18</v>
      </c>
      <c r="E137" t="str" cm="1">
        <f t="array" aca="1" ref="E137" ca="1">INDEX(Cities[City],RANDBETWEEN(1,10))</f>
        <v>Hyderabad</v>
      </c>
      <c r="F137" t="str">
        <f ca="1">_xlfn.XLOOKUP(Customers[[#This Row],[City]],Cities[City],Cities[State])</f>
        <v>Telangana</v>
      </c>
      <c r="G137" t="str" cm="1">
        <f t="array" aca="1" ref="G137" ca="1">INDEX(Cities[Customer Type],RANDBETWEEN(1,3))</f>
        <v>Regular</v>
      </c>
    </row>
    <row r="138" spans="1:7" x14ac:dyDescent="0.3">
      <c r="A138" t="s">
        <v>310</v>
      </c>
      <c r="B138" t="str" cm="1">
        <f t="array" aca="1" ref="B138" ca="1">INDEX(FirstNames[First Name],RANDBETWEEN(1,30))&amp;" "&amp;INDEX(LastNames[Last Name],RANDBETWEEN(1,20))</f>
        <v>Priya Kumar</v>
      </c>
      <c r="C138" t="str">
        <f ca="1">_xlfn.XLOOKUP(LEFT(Customers[[#This Row],[Customer Name]],FIND(" ",Customers[[#This Row],[Customer Name]])-1),FirstNames[First Name],FirstNames[Gender])</f>
        <v>Female</v>
      </c>
      <c r="D138">
        <f t="shared" ca="1" si="1"/>
        <v>46</v>
      </c>
      <c r="E138" t="str" cm="1">
        <f t="array" aca="1" ref="E138" ca="1">INDEX(Cities[City],RANDBETWEEN(1,10))</f>
        <v>Kochi</v>
      </c>
      <c r="F138" t="str">
        <f ca="1">_xlfn.XLOOKUP(Customers[[#This Row],[City]],Cities[City],Cities[State])</f>
        <v>Kerala</v>
      </c>
      <c r="G138" t="str" cm="1">
        <f t="array" aca="1" ref="G138" ca="1">INDEX(Cities[Customer Type],RANDBETWEEN(1,3))</f>
        <v>Premium</v>
      </c>
    </row>
    <row r="139" spans="1:7" x14ac:dyDescent="0.3">
      <c r="A139" t="s">
        <v>311</v>
      </c>
      <c r="B139" t="str" cm="1">
        <f t="array" aca="1" ref="B139" ca="1">INDEX(FirstNames[First Name],RANDBETWEEN(1,30))&amp;" "&amp;INDEX(LastNames[Last Name],RANDBETWEEN(1,20))</f>
        <v>Lakshmi Malhotra</v>
      </c>
      <c r="C139" t="str">
        <f ca="1">_xlfn.XLOOKUP(LEFT(Customers[[#This Row],[Customer Name]],FIND(" ",Customers[[#This Row],[Customer Name]])-1),FirstNames[First Name],FirstNames[Gender])</f>
        <v>Female</v>
      </c>
      <c r="D139">
        <f t="shared" ca="1" si="1"/>
        <v>41</v>
      </c>
      <c r="E139" t="str" cm="1">
        <f t="array" aca="1" ref="E139" ca="1">INDEX(Cities[City],RANDBETWEEN(1,10))</f>
        <v>Kochi</v>
      </c>
      <c r="F139" t="str">
        <f ca="1">_xlfn.XLOOKUP(Customers[[#This Row],[City]],Cities[City],Cities[State])</f>
        <v>Kerala</v>
      </c>
      <c r="G139" t="str" cm="1">
        <f t="array" aca="1" ref="G139" ca="1">INDEX(Cities[Customer Type],RANDBETWEEN(1,3))</f>
        <v>Regular</v>
      </c>
    </row>
    <row r="140" spans="1:7" x14ac:dyDescent="0.3">
      <c r="A140" t="s">
        <v>312</v>
      </c>
      <c r="B140" t="str" cm="1">
        <f t="array" aca="1" ref="B140" ca="1">INDEX(FirstNames[First Name],RANDBETWEEN(1,30))&amp;" "&amp;INDEX(LastNames[Last Name],RANDBETWEEN(1,20))</f>
        <v>Ananya Yadav</v>
      </c>
      <c r="C140" t="str">
        <f ca="1">_xlfn.XLOOKUP(LEFT(Customers[[#This Row],[Customer Name]],FIND(" ",Customers[[#This Row],[Customer Name]])-1),FirstNames[First Name],FirstNames[Gender])</f>
        <v>Female</v>
      </c>
      <c r="D140">
        <f t="shared" ca="1" si="1"/>
        <v>39</v>
      </c>
      <c r="E140" t="str" cm="1">
        <f t="array" aca="1" ref="E140" ca="1">INDEX(Cities[City],RANDBETWEEN(1,10))</f>
        <v>Bengaluru</v>
      </c>
      <c r="F140" t="str">
        <f ca="1">_xlfn.XLOOKUP(Customers[[#This Row],[City]],Cities[City],Cities[State])</f>
        <v>Karnataka</v>
      </c>
      <c r="G140" t="str" cm="1">
        <f t="array" aca="1" ref="G140" ca="1">INDEX(Cities[Customer Type],RANDBETWEEN(1,3))</f>
        <v>Regular</v>
      </c>
    </row>
    <row r="141" spans="1:7" x14ac:dyDescent="0.3">
      <c r="A141" t="s">
        <v>313</v>
      </c>
      <c r="B141" t="str" cm="1">
        <f t="array" aca="1" ref="B141" ca="1">INDEX(FirstNames[First Name],RANDBETWEEN(1,30))&amp;" "&amp;INDEX(LastNames[Last Name],RANDBETWEEN(1,20))</f>
        <v>Karthik Kapoor</v>
      </c>
      <c r="C141" t="str">
        <f ca="1">_xlfn.XLOOKUP(LEFT(Customers[[#This Row],[Customer Name]],FIND(" ",Customers[[#This Row],[Customer Name]])-1),FirstNames[First Name],FirstNames[Gender])</f>
        <v>Male</v>
      </c>
      <c r="D141">
        <f t="shared" ca="1" si="1"/>
        <v>39</v>
      </c>
      <c r="E141" t="str" cm="1">
        <f t="array" aca="1" ref="E141" ca="1">INDEX(Cities[City],RANDBETWEEN(1,10))</f>
        <v>Chennai</v>
      </c>
      <c r="F141" t="str">
        <f ca="1">_xlfn.XLOOKUP(Customers[[#This Row],[City]],Cities[City],Cities[State])</f>
        <v>Tamil Nadu</v>
      </c>
      <c r="G141" t="str" cm="1">
        <f t="array" aca="1" ref="G141" ca="1">INDEX(Cities[Customer Type],RANDBETWEEN(1,3))</f>
        <v>Premium</v>
      </c>
    </row>
    <row r="142" spans="1:7" x14ac:dyDescent="0.3">
      <c r="A142" t="s">
        <v>314</v>
      </c>
      <c r="B142" t="str" cm="1">
        <f t="array" aca="1" ref="B142" ca="1">INDEX(FirstNames[First Name],RANDBETWEEN(1,30))&amp;" "&amp;INDEX(LastNames[Last Name],RANDBETWEEN(1,20))</f>
        <v>Aditya Khan</v>
      </c>
      <c r="C142" t="str">
        <f ca="1">_xlfn.XLOOKUP(LEFT(Customers[[#This Row],[Customer Name]],FIND(" ",Customers[[#This Row],[Customer Name]])-1),FirstNames[First Name],FirstNames[Gender])</f>
        <v>Male</v>
      </c>
      <c r="D142">
        <f t="shared" ca="1" si="1"/>
        <v>41</v>
      </c>
      <c r="E142" t="str" cm="1">
        <f t="array" aca="1" ref="E142" ca="1">INDEX(Cities[City],RANDBETWEEN(1,10))</f>
        <v>Ahmedabad</v>
      </c>
      <c r="F142" t="str">
        <f ca="1">_xlfn.XLOOKUP(Customers[[#This Row],[City]],Cities[City],Cities[State])</f>
        <v>Gujarat</v>
      </c>
      <c r="G142" t="str" cm="1">
        <f t="array" aca="1" ref="G142" ca="1">INDEX(Cities[Customer Type],RANDBETWEEN(1,3))</f>
        <v>Premium</v>
      </c>
    </row>
    <row r="143" spans="1:7" x14ac:dyDescent="0.3">
      <c r="A143" t="s">
        <v>315</v>
      </c>
      <c r="B143" t="str" cm="1">
        <f t="array" aca="1" ref="B143" ca="1">INDEX(FirstNames[First Name],RANDBETWEEN(1,30))&amp;" "&amp;INDEX(LastNames[Last Name],RANDBETWEEN(1,20))</f>
        <v>Vikram Mehta</v>
      </c>
      <c r="C143" t="str">
        <f ca="1">_xlfn.XLOOKUP(LEFT(Customers[[#This Row],[Customer Name]],FIND(" ",Customers[[#This Row],[Customer Name]])-1),FirstNames[First Name],FirstNames[Gender])</f>
        <v>Male</v>
      </c>
      <c r="D143">
        <f t="shared" ca="1" si="1"/>
        <v>60</v>
      </c>
      <c r="E143" t="str" cm="1">
        <f t="array" aca="1" ref="E143" ca="1">INDEX(Cities[City],RANDBETWEEN(1,10))</f>
        <v>Kolkata</v>
      </c>
      <c r="F143" t="str">
        <f ca="1">_xlfn.XLOOKUP(Customers[[#This Row],[City]],Cities[City],Cities[State])</f>
        <v>West Bengal</v>
      </c>
      <c r="G143" t="str" cm="1">
        <f t="array" aca="1" ref="G143" ca="1">INDEX(Cities[Customer Type],RANDBETWEEN(1,3))</f>
        <v>Regular</v>
      </c>
    </row>
    <row r="144" spans="1:7" x14ac:dyDescent="0.3">
      <c r="A144" t="s">
        <v>316</v>
      </c>
      <c r="B144" t="str" cm="1">
        <f t="array" aca="1" ref="B144" ca="1">INDEX(FirstNames[First Name],RANDBETWEEN(1,30))&amp;" "&amp;INDEX(LastNames[Last Name],RANDBETWEEN(1,20))</f>
        <v>Varun Yadav</v>
      </c>
      <c r="C144" t="str">
        <f ca="1">_xlfn.XLOOKUP(LEFT(Customers[[#This Row],[Customer Name]],FIND(" ",Customers[[#This Row],[Customer Name]])-1),FirstNames[First Name],FirstNames[Gender])</f>
        <v>Male</v>
      </c>
      <c r="D144">
        <f t="shared" ca="1" si="1"/>
        <v>50</v>
      </c>
      <c r="E144" t="str" cm="1">
        <f t="array" aca="1" ref="E144" ca="1">INDEX(Cities[City],RANDBETWEEN(1,10))</f>
        <v>Kolkata</v>
      </c>
      <c r="F144" t="str">
        <f ca="1">_xlfn.XLOOKUP(Customers[[#This Row],[City]],Cities[City],Cities[State])</f>
        <v>West Bengal</v>
      </c>
      <c r="G144" t="str" cm="1">
        <f t="array" aca="1" ref="G144" ca="1">INDEX(Cities[Customer Type],RANDBETWEEN(1,3))</f>
        <v>Regular</v>
      </c>
    </row>
    <row r="145" spans="1:7" x14ac:dyDescent="0.3">
      <c r="A145" t="s">
        <v>317</v>
      </c>
      <c r="B145" t="str" cm="1">
        <f t="array" aca="1" ref="B145" ca="1">INDEX(FirstNames[First Name],RANDBETWEEN(1,30))&amp;" "&amp;INDEX(LastNames[Last Name],RANDBETWEEN(1,20))</f>
        <v>Deepika Mehta</v>
      </c>
      <c r="C145" t="str">
        <f ca="1">_xlfn.XLOOKUP(LEFT(Customers[[#This Row],[Customer Name]],FIND(" ",Customers[[#This Row],[Customer Name]])-1),FirstNames[First Name],FirstNames[Gender])</f>
        <v>Female</v>
      </c>
      <c r="D145">
        <f t="shared" ca="1" si="1"/>
        <v>26</v>
      </c>
      <c r="E145" t="str" cm="1">
        <f t="array" aca="1" ref="E145" ca="1">INDEX(Cities[City],RANDBETWEEN(1,10))</f>
        <v>Ahmedabad</v>
      </c>
      <c r="F145" t="str">
        <f ca="1">_xlfn.XLOOKUP(Customers[[#This Row],[City]],Cities[City],Cities[State])</f>
        <v>Gujarat</v>
      </c>
      <c r="G145" t="str" cm="1">
        <f t="array" aca="1" ref="G145" ca="1">INDEX(Cities[Customer Type],RANDBETWEEN(1,3))</f>
        <v>VIP</v>
      </c>
    </row>
    <row r="146" spans="1:7" x14ac:dyDescent="0.3">
      <c r="A146" t="s">
        <v>318</v>
      </c>
      <c r="B146" t="str" cm="1">
        <f t="array" aca="1" ref="B146" ca="1">INDEX(FirstNames[First Name],RANDBETWEEN(1,30))&amp;" "&amp;INDEX(LastNames[Last Name],RANDBETWEEN(1,20))</f>
        <v>Rohan Srinivas</v>
      </c>
      <c r="C146" t="str">
        <f ca="1">_xlfn.XLOOKUP(LEFT(Customers[[#This Row],[Customer Name]],FIND(" ",Customers[[#This Row],[Customer Name]])-1),FirstNames[First Name],FirstNames[Gender])</f>
        <v>Male</v>
      </c>
      <c r="D146">
        <f t="shared" ca="1" si="1"/>
        <v>34</v>
      </c>
      <c r="E146" t="str" cm="1">
        <f t="array" aca="1" ref="E146" ca="1">INDEX(Cities[City],RANDBETWEEN(1,10))</f>
        <v>Kochi</v>
      </c>
      <c r="F146" t="str">
        <f ca="1">_xlfn.XLOOKUP(Customers[[#This Row],[City]],Cities[City],Cities[State])</f>
        <v>Kerala</v>
      </c>
      <c r="G146" t="str" cm="1">
        <f t="array" aca="1" ref="G146" ca="1">INDEX(Cities[Customer Type],RANDBETWEEN(1,3))</f>
        <v>VIP</v>
      </c>
    </row>
    <row r="147" spans="1:7" x14ac:dyDescent="0.3">
      <c r="A147" t="s">
        <v>319</v>
      </c>
      <c r="B147" t="str" cm="1">
        <f t="array" aca="1" ref="B147" ca="1">INDEX(FirstNames[First Name],RANDBETWEEN(1,30))&amp;" "&amp;INDEX(LastNames[Last Name],RANDBETWEEN(1,20))</f>
        <v>Deepika Patel</v>
      </c>
      <c r="C147" t="str">
        <f ca="1">_xlfn.XLOOKUP(LEFT(Customers[[#This Row],[Customer Name]],FIND(" ",Customers[[#This Row],[Customer Name]])-1),FirstNames[First Name],FirstNames[Gender])</f>
        <v>Female</v>
      </c>
      <c r="D147">
        <f t="shared" ca="1" si="1"/>
        <v>29</v>
      </c>
      <c r="E147" t="str" cm="1">
        <f t="array" aca="1" ref="E147" ca="1">INDEX(Cities[City],RANDBETWEEN(1,10))</f>
        <v>Pune</v>
      </c>
      <c r="F147" t="str">
        <f ca="1">_xlfn.XLOOKUP(Customers[[#This Row],[City]],Cities[City],Cities[State])</f>
        <v>Maharashtra</v>
      </c>
      <c r="G147" t="str" cm="1">
        <f t="array" aca="1" ref="G147" ca="1">INDEX(Cities[Customer Type],RANDBETWEEN(1,3))</f>
        <v>Premium</v>
      </c>
    </row>
    <row r="148" spans="1:7" x14ac:dyDescent="0.3">
      <c r="A148" t="s">
        <v>320</v>
      </c>
      <c r="B148" t="str" cm="1">
        <f t="array" aca="1" ref="B148" ca="1">INDEX(FirstNames[First Name],RANDBETWEEN(1,30))&amp;" "&amp;INDEX(LastNames[Last Name],RANDBETWEEN(1,20))</f>
        <v>Aisha Yadav</v>
      </c>
      <c r="C148" t="str">
        <f ca="1">_xlfn.XLOOKUP(LEFT(Customers[[#This Row],[Customer Name]],FIND(" ",Customers[[#This Row],[Customer Name]])-1),FirstNames[First Name],FirstNames[Gender])</f>
        <v>Female</v>
      </c>
      <c r="D148">
        <f t="shared" ca="1" si="1"/>
        <v>21</v>
      </c>
      <c r="E148" t="str" cm="1">
        <f t="array" aca="1" ref="E148" ca="1">INDEX(Cities[City],RANDBETWEEN(1,10))</f>
        <v>Bengaluru</v>
      </c>
      <c r="F148" t="str">
        <f ca="1">_xlfn.XLOOKUP(Customers[[#This Row],[City]],Cities[City],Cities[State])</f>
        <v>Karnataka</v>
      </c>
      <c r="G148" t="str" cm="1">
        <f t="array" aca="1" ref="G148" ca="1">INDEX(Cities[Customer Type],RANDBETWEEN(1,3))</f>
        <v>Regular</v>
      </c>
    </row>
    <row r="149" spans="1:7" x14ac:dyDescent="0.3">
      <c r="A149" t="s">
        <v>321</v>
      </c>
      <c r="B149" t="str" cm="1">
        <f t="array" aca="1" ref="B149" ca="1">INDEX(FirstNames[First Name],RANDBETWEEN(1,30))&amp;" "&amp;INDEX(LastNames[Last Name],RANDBETWEEN(1,20))</f>
        <v>Rahul Nair</v>
      </c>
      <c r="C149" t="str">
        <f ca="1">_xlfn.XLOOKUP(LEFT(Customers[[#This Row],[Customer Name]],FIND(" ",Customers[[#This Row],[Customer Name]])-1),FirstNames[First Name],FirstNames[Gender])</f>
        <v>Male</v>
      </c>
      <c r="D149">
        <f t="shared" ca="1" si="1"/>
        <v>28</v>
      </c>
      <c r="E149" t="str" cm="1">
        <f t="array" aca="1" ref="E149" ca="1">INDEX(Cities[City],RANDBETWEEN(1,10))</f>
        <v>Lucknow</v>
      </c>
      <c r="F149" t="str">
        <f ca="1">_xlfn.XLOOKUP(Customers[[#This Row],[City]],Cities[City],Cities[State])</f>
        <v>Uttar Pradesh</v>
      </c>
      <c r="G149" t="str" cm="1">
        <f t="array" aca="1" ref="G149" ca="1">INDEX(Cities[Customer Type],RANDBETWEEN(1,3))</f>
        <v>Premium</v>
      </c>
    </row>
    <row r="150" spans="1:7" x14ac:dyDescent="0.3">
      <c r="A150" t="s">
        <v>322</v>
      </c>
      <c r="B150" t="str" cm="1">
        <f t="array" aca="1" ref="B150" ca="1">INDEX(FirstNames[First Name],RANDBETWEEN(1,30))&amp;" "&amp;INDEX(LastNames[Last Name],RANDBETWEEN(1,20))</f>
        <v>Varun Gupta</v>
      </c>
      <c r="C150" t="str">
        <f ca="1">_xlfn.XLOOKUP(LEFT(Customers[[#This Row],[Customer Name]],FIND(" ",Customers[[#This Row],[Customer Name]])-1),FirstNames[First Name],FirstNames[Gender])</f>
        <v>Male</v>
      </c>
      <c r="D150">
        <f t="shared" ca="1" si="1"/>
        <v>52</v>
      </c>
      <c r="E150" t="str" cm="1">
        <f t="array" aca="1" ref="E150" ca="1">INDEX(Cities[City],RANDBETWEEN(1,10))</f>
        <v>Lucknow</v>
      </c>
      <c r="F150" t="str">
        <f ca="1">_xlfn.XLOOKUP(Customers[[#This Row],[City]],Cities[City],Cities[State])</f>
        <v>Uttar Pradesh</v>
      </c>
      <c r="G150" t="str" cm="1">
        <f t="array" aca="1" ref="G150" ca="1">INDEX(Cities[Customer Type],RANDBETWEEN(1,3))</f>
        <v>VIP</v>
      </c>
    </row>
    <row r="151" spans="1:7" x14ac:dyDescent="0.3">
      <c r="A151" t="s">
        <v>323</v>
      </c>
      <c r="B151" t="str" cm="1">
        <f t="array" aca="1" ref="B151" ca="1">INDEX(FirstNames[First Name],RANDBETWEEN(1,30))&amp;" "&amp;INDEX(LastNames[Last Name],RANDBETWEEN(1,20))</f>
        <v>Suresh Das</v>
      </c>
      <c r="C151" t="str">
        <f ca="1">_xlfn.XLOOKUP(LEFT(Customers[[#This Row],[Customer Name]],FIND(" ",Customers[[#This Row],[Customer Name]])-1),FirstNames[First Name],FirstNames[Gender])</f>
        <v>Male</v>
      </c>
      <c r="D151">
        <f t="shared" ref="D151:D201" ca="1" si="2">RANDBETWEEN(18,60)</f>
        <v>44</v>
      </c>
      <c r="E151" t="str" cm="1">
        <f t="array" aca="1" ref="E151" ca="1">INDEX(Cities[City],RANDBETWEEN(1,10))</f>
        <v>Pune</v>
      </c>
      <c r="F151" t="str">
        <f ca="1">_xlfn.XLOOKUP(Customers[[#This Row],[City]],Cities[City],Cities[State])</f>
        <v>Maharashtra</v>
      </c>
      <c r="G151" t="str" cm="1">
        <f t="array" aca="1" ref="G151" ca="1">INDEX(Cities[Customer Type],RANDBETWEEN(1,3))</f>
        <v>VIP</v>
      </c>
    </row>
    <row r="152" spans="1:7" x14ac:dyDescent="0.3">
      <c r="A152" t="s">
        <v>324</v>
      </c>
      <c r="B152" t="str" cm="1">
        <f t="array" aca="1" ref="B152" ca="1">INDEX(FirstNames[First Name],RANDBETWEEN(1,30))&amp;" "&amp;INDEX(LastNames[Last Name],RANDBETWEEN(1,20))</f>
        <v>Divya Mehta</v>
      </c>
      <c r="C152" t="str">
        <f ca="1">_xlfn.XLOOKUP(LEFT(Customers[[#This Row],[Customer Name]],FIND(" ",Customers[[#This Row],[Customer Name]])-1),FirstNames[First Name],FirstNames[Gender])</f>
        <v>Female</v>
      </c>
      <c r="D152">
        <f t="shared" ca="1" si="2"/>
        <v>31</v>
      </c>
      <c r="E152" t="str" cm="1">
        <f t="array" aca="1" ref="E152" ca="1">INDEX(Cities[City],RANDBETWEEN(1,10))</f>
        <v>Kolkata</v>
      </c>
      <c r="F152" t="str">
        <f ca="1">_xlfn.XLOOKUP(Customers[[#This Row],[City]],Cities[City],Cities[State])</f>
        <v>West Bengal</v>
      </c>
      <c r="G152" t="str" cm="1">
        <f t="array" aca="1" ref="G152" ca="1">INDEX(Cities[Customer Type],RANDBETWEEN(1,3))</f>
        <v>VIP</v>
      </c>
    </row>
    <row r="153" spans="1:7" x14ac:dyDescent="0.3">
      <c r="A153" t="s">
        <v>325</v>
      </c>
      <c r="B153" t="str" cm="1">
        <f t="array" aca="1" ref="B153" ca="1">INDEX(FirstNames[First Name],RANDBETWEEN(1,30))&amp;" "&amp;INDEX(LastNames[Last Name],RANDBETWEEN(1,20))</f>
        <v>Varun Ghosh</v>
      </c>
      <c r="C153" t="str">
        <f ca="1">_xlfn.XLOOKUP(LEFT(Customers[[#This Row],[Customer Name]],FIND(" ",Customers[[#This Row],[Customer Name]])-1),FirstNames[First Name],FirstNames[Gender])</f>
        <v>Male</v>
      </c>
      <c r="D153">
        <f t="shared" ca="1" si="2"/>
        <v>49</v>
      </c>
      <c r="E153" t="str" cm="1">
        <f t="array" aca="1" ref="E153" ca="1">INDEX(Cities[City],RANDBETWEEN(1,10))</f>
        <v>Kolkata</v>
      </c>
      <c r="F153" t="str">
        <f ca="1">_xlfn.XLOOKUP(Customers[[#This Row],[City]],Cities[City],Cities[State])</f>
        <v>West Bengal</v>
      </c>
      <c r="G153" t="str" cm="1">
        <f t="array" aca="1" ref="G153" ca="1">INDEX(Cities[Customer Type],RANDBETWEEN(1,3))</f>
        <v>Regular</v>
      </c>
    </row>
    <row r="154" spans="1:7" x14ac:dyDescent="0.3">
      <c r="A154" t="s">
        <v>326</v>
      </c>
      <c r="B154" t="str" cm="1">
        <f t="array" aca="1" ref="B154" ca="1">INDEX(FirstNames[First Name],RANDBETWEEN(1,30))&amp;" "&amp;INDEX(LastNames[Last Name],RANDBETWEEN(1,20))</f>
        <v>Vikram Malhotra</v>
      </c>
      <c r="C154" t="str">
        <f ca="1">_xlfn.XLOOKUP(LEFT(Customers[[#This Row],[Customer Name]],FIND(" ",Customers[[#This Row],[Customer Name]])-1),FirstNames[First Name],FirstNames[Gender])</f>
        <v>Male</v>
      </c>
      <c r="D154">
        <f t="shared" ca="1" si="2"/>
        <v>35</v>
      </c>
      <c r="E154" t="str" cm="1">
        <f t="array" aca="1" ref="E154" ca="1">INDEX(Cities[City],RANDBETWEEN(1,10))</f>
        <v>Lucknow</v>
      </c>
      <c r="F154" t="str">
        <f ca="1">_xlfn.XLOOKUP(Customers[[#This Row],[City]],Cities[City],Cities[State])</f>
        <v>Uttar Pradesh</v>
      </c>
      <c r="G154" t="str" cm="1">
        <f t="array" aca="1" ref="G154" ca="1">INDEX(Cities[Customer Type],RANDBETWEEN(1,3))</f>
        <v>Premium</v>
      </c>
    </row>
    <row r="155" spans="1:7" x14ac:dyDescent="0.3">
      <c r="A155" t="s">
        <v>327</v>
      </c>
      <c r="B155" t="str" cm="1">
        <f t="array" aca="1" ref="B155" ca="1">INDEX(FirstNames[First Name],RANDBETWEEN(1,30))&amp;" "&amp;INDEX(LastNames[Last Name],RANDBETWEEN(1,20))</f>
        <v>Nandhini Ghosh</v>
      </c>
      <c r="C155" t="str">
        <f ca="1">_xlfn.XLOOKUP(LEFT(Customers[[#This Row],[Customer Name]],FIND(" ",Customers[[#This Row],[Customer Name]])-1),FirstNames[First Name],FirstNames[Gender])</f>
        <v>Female</v>
      </c>
      <c r="D155">
        <f t="shared" ca="1" si="2"/>
        <v>43</v>
      </c>
      <c r="E155" t="str" cm="1">
        <f t="array" aca="1" ref="E155" ca="1">INDEX(Cities[City],RANDBETWEEN(1,10))</f>
        <v>Jaipur</v>
      </c>
      <c r="F155" t="str">
        <f ca="1">_xlfn.XLOOKUP(Customers[[#This Row],[City]],Cities[City],Cities[State])</f>
        <v>Rajasthan</v>
      </c>
      <c r="G155" t="str" cm="1">
        <f t="array" aca="1" ref="G155" ca="1">INDEX(Cities[Customer Type],RANDBETWEEN(1,3))</f>
        <v>Regular</v>
      </c>
    </row>
    <row r="156" spans="1:7" x14ac:dyDescent="0.3">
      <c r="A156" t="s">
        <v>328</v>
      </c>
      <c r="B156" t="str" cm="1">
        <f t="array" aca="1" ref="B156" ca="1">INDEX(FirstNames[First Name],RANDBETWEEN(1,30))&amp;" "&amp;INDEX(LastNames[Last Name],RANDBETWEEN(1,20))</f>
        <v>Neha Yadav</v>
      </c>
      <c r="C156" t="str">
        <f ca="1">_xlfn.XLOOKUP(LEFT(Customers[[#This Row],[Customer Name]],FIND(" ",Customers[[#This Row],[Customer Name]])-1),FirstNames[First Name],FirstNames[Gender])</f>
        <v>Female</v>
      </c>
      <c r="D156">
        <f t="shared" ca="1" si="2"/>
        <v>54</v>
      </c>
      <c r="E156" t="str" cm="1">
        <f t="array" aca="1" ref="E156" ca="1">INDEX(Cities[City],RANDBETWEEN(1,10))</f>
        <v>Ahmedabad</v>
      </c>
      <c r="F156" t="str">
        <f ca="1">_xlfn.XLOOKUP(Customers[[#This Row],[City]],Cities[City],Cities[State])</f>
        <v>Gujarat</v>
      </c>
      <c r="G156" t="str" cm="1">
        <f t="array" aca="1" ref="G156" ca="1">INDEX(Cities[Customer Type],RANDBETWEEN(1,3))</f>
        <v>Premium</v>
      </c>
    </row>
    <row r="157" spans="1:7" x14ac:dyDescent="0.3">
      <c r="A157" t="s">
        <v>329</v>
      </c>
      <c r="B157" t="str" cm="1">
        <f t="array" aca="1" ref="B157" ca="1">INDEX(FirstNames[First Name],RANDBETWEEN(1,30))&amp;" "&amp;INDEX(LastNames[Last Name],RANDBETWEEN(1,20))</f>
        <v>Priya Singh</v>
      </c>
      <c r="C157" t="str">
        <f ca="1">_xlfn.XLOOKUP(LEFT(Customers[[#This Row],[Customer Name]],FIND(" ",Customers[[#This Row],[Customer Name]])-1),FirstNames[First Name],FirstNames[Gender])</f>
        <v>Female</v>
      </c>
      <c r="D157">
        <f t="shared" ca="1" si="2"/>
        <v>56</v>
      </c>
      <c r="E157" t="str" cm="1">
        <f t="array" aca="1" ref="E157" ca="1">INDEX(Cities[City],RANDBETWEEN(1,10))</f>
        <v>Mumbai</v>
      </c>
      <c r="F157" t="str">
        <f ca="1">_xlfn.XLOOKUP(Customers[[#This Row],[City]],Cities[City],Cities[State])</f>
        <v>Maharashtra</v>
      </c>
      <c r="G157" t="str" cm="1">
        <f t="array" aca="1" ref="G157" ca="1">INDEX(Cities[Customer Type],RANDBETWEEN(1,3))</f>
        <v>VIP</v>
      </c>
    </row>
    <row r="158" spans="1:7" x14ac:dyDescent="0.3">
      <c r="A158" t="s">
        <v>330</v>
      </c>
      <c r="B158" t="str" cm="1">
        <f t="array" aca="1" ref="B158" ca="1">INDEX(FirstNames[First Name],RANDBETWEEN(1,30))&amp;" "&amp;INDEX(LastNames[Last Name],RANDBETWEEN(1,20))</f>
        <v>Rohan Srinivas</v>
      </c>
      <c r="C158" t="str">
        <f ca="1">_xlfn.XLOOKUP(LEFT(Customers[[#This Row],[Customer Name]],FIND(" ",Customers[[#This Row],[Customer Name]])-1),FirstNames[First Name],FirstNames[Gender])</f>
        <v>Male</v>
      </c>
      <c r="D158">
        <f t="shared" ca="1" si="2"/>
        <v>23</v>
      </c>
      <c r="E158" t="str" cm="1">
        <f t="array" aca="1" ref="E158" ca="1">INDEX(Cities[City],RANDBETWEEN(1,10))</f>
        <v>Chennai</v>
      </c>
      <c r="F158" t="str">
        <f ca="1">_xlfn.XLOOKUP(Customers[[#This Row],[City]],Cities[City],Cities[State])</f>
        <v>Tamil Nadu</v>
      </c>
      <c r="G158" t="str" cm="1">
        <f t="array" aca="1" ref="G158" ca="1">INDEX(Cities[Customer Type],RANDBETWEEN(1,3))</f>
        <v>Regular</v>
      </c>
    </row>
    <row r="159" spans="1:7" x14ac:dyDescent="0.3">
      <c r="A159" t="s">
        <v>331</v>
      </c>
      <c r="B159" t="str" cm="1">
        <f t="array" aca="1" ref="B159" ca="1">INDEX(FirstNames[First Name],RANDBETWEEN(1,30))&amp;" "&amp;INDEX(LastNames[Last Name],RANDBETWEEN(1,20))</f>
        <v>Meera Verma</v>
      </c>
      <c r="C159" t="str">
        <f ca="1">_xlfn.XLOOKUP(LEFT(Customers[[#This Row],[Customer Name]],FIND(" ",Customers[[#This Row],[Customer Name]])-1),FirstNames[First Name],FirstNames[Gender])</f>
        <v>Female</v>
      </c>
      <c r="D159">
        <f t="shared" ca="1" si="2"/>
        <v>50</v>
      </c>
      <c r="E159" t="str" cm="1">
        <f t="array" aca="1" ref="E159" ca="1">INDEX(Cities[City],RANDBETWEEN(1,10))</f>
        <v>Ahmedabad</v>
      </c>
      <c r="F159" t="str">
        <f ca="1">_xlfn.XLOOKUP(Customers[[#This Row],[City]],Cities[City],Cities[State])</f>
        <v>Gujarat</v>
      </c>
      <c r="G159" t="str" cm="1">
        <f t="array" aca="1" ref="G159" ca="1">INDEX(Cities[Customer Type],RANDBETWEEN(1,3))</f>
        <v>Premium</v>
      </c>
    </row>
    <row r="160" spans="1:7" x14ac:dyDescent="0.3">
      <c r="A160" t="s">
        <v>332</v>
      </c>
      <c r="B160" t="str" cm="1">
        <f t="array" aca="1" ref="B160" ca="1">INDEX(FirstNames[First Name],RANDBETWEEN(1,30))&amp;" "&amp;INDEX(LastNames[Last Name],RANDBETWEEN(1,20))</f>
        <v>Akash Das</v>
      </c>
      <c r="C160" t="str">
        <f ca="1">_xlfn.XLOOKUP(LEFT(Customers[[#This Row],[Customer Name]],FIND(" ",Customers[[#This Row],[Customer Name]])-1),FirstNames[First Name],FirstNames[Gender])</f>
        <v>Male</v>
      </c>
      <c r="D160">
        <f t="shared" ca="1" si="2"/>
        <v>44</v>
      </c>
      <c r="E160" t="str" cm="1">
        <f t="array" aca="1" ref="E160" ca="1">INDEX(Cities[City],RANDBETWEEN(1,10))</f>
        <v>Lucknow</v>
      </c>
      <c r="F160" t="str">
        <f ca="1">_xlfn.XLOOKUP(Customers[[#This Row],[City]],Cities[City],Cities[State])</f>
        <v>Uttar Pradesh</v>
      </c>
      <c r="G160" t="str" cm="1">
        <f t="array" aca="1" ref="G160" ca="1">INDEX(Cities[Customer Type],RANDBETWEEN(1,3))</f>
        <v>Premium</v>
      </c>
    </row>
    <row r="161" spans="1:7" x14ac:dyDescent="0.3">
      <c r="A161" t="s">
        <v>333</v>
      </c>
      <c r="B161" t="str" cm="1">
        <f t="array" aca="1" ref="B161" ca="1">INDEX(FirstNames[First Name],RANDBETWEEN(1,30))&amp;" "&amp;INDEX(LastNames[Last Name],RANDBETWEEN(1,20))</f>
        <v>Neha Singh</v>
      </c>
      <c r="C161" t="str">
        <f ca="1">_xlfn.XLOOKUP(LEFT(Customers[[#This Row],[Customer Name]],FIND(" ",Customers[[#This Row],[Customer Name]])-1),FirstNames[First Name],FirstNames[Gender])</f>
        <v>Female</v>
      </c>
      <c r="D161">
        <f t="shared" ca="1" si="2"/>
        <v>41</v>
      </c>
      <c r="E161" t="str" cm="1">
        <f t="array" aca="1" ref="E161" ca="1">INDEX(Cities[City],RANDBETWEEN(1,10))</f>
        <v>Kolkata</v>
      </c>
      <c r="F161" t="str">
        <f ca="1">_xlfn.XLOOKUP(Customers[[#This Row],[City]],Cities[City],Cities[State])</f>
        <v>West Bengal</v>
      </c>
      <c r="G161" t="str" cm="1">
        <f t="array" aca="1" ref="G161" ca="1">INDEX(Cities[Customer Type],RANDBETWEEN(1,3))</f>
        <v>Premium</v>
      </c>
    </row>
    <row r="162" spans="1:7" x14ac:dyDescent="0.3">
      <c r="A162" t="s">
        <v>334</v>
      </c>
      <c r="B162" t="str" cm="1">
        <f t="array" aca="1" ref="B162" ca="1">INDEX(FirstNames[First Name],RANDBETWEEN(1,30))&amp;" "&amp;INDEX(LastNames[Last Name],RANDBETWEEN(1,20))</f>
        <v>Keerthana Kumar</v>
      </c>
      <c r="C162" t="str">
        <f ca="1">_xlfn.XLOOKUP(LEFT(Customers[[#This Row],[Customer Name]],FIND(" ",Customers[[#This Row],[Customer Name]])-1),FirstNames[First Name],FirstNames[Gender])</f>
        <v>Female</v>
      </c>
      <c r="D162">
        <f t="shared" ca="1" si="2"/>
        <v>53</v>
      </c>
      <c r="E162" t="str" cm="1">
        <f t="array" aca="1" ref="E162" ca="1">INDEX(Cities[City],RANDBETWEEN(1,10))</f>
        <v>Pune</v>
      </c>
      <c r="F162" t="str">
        <f ca="1">_xlfn.XLOOKUP(Customers[[#This Row],[City]],Cities[City],Cities[State])</f>
        <v>Maharashtra</v>
      </c>
      <c r="G162" t="str" cm="1">
        <f t="array" aca="1" ref="G162" ca="1">INDEX(Cities[Customer Type],RANDBETWEEN(1,3))</f>
        <v>Premium</v>
      </c>
    </row>
    <row r="163" spans="1:7" x14ac:dyDescent="0.3">
      <c r="A163" t="s">
        <v>335</v>
      </c>
      <c r="B163" t="str" cm="1">
        <f t="array" aca="1" ref="B163" ca="1">INDEX(FirstNames[First Name],RANDBETWEEN(1,30))&amp;" "&amp;INDEX(LastNames[Last Name],RANDBETWEEN(1,20))</f>
        <v>Karthik Nair</v>
      </c>
      <c r="C163" t="str">
        <f ca="1">_xlfn.XLOOKUP(LEFT(Customers[[#This Row],[Customer Name]],FIND(" ",Customers[[#This Row],[Customer Name]])-1),FirstNames[First Name],FirstNames[Gender])</f>
        <v>Male</v>
      </c>
      <c r="D163">
        <f t="shared" ca="1" si="2"/>
        <v>25</v>
      </c>
      <c r="E163" t="str" cm="1">
        <f t="array" aca="1" ref="E163" ca="1">INDEX(Cities[City],RANDBETWEEN(1,10))</f>
        <v>Kolkata</v>
      </c>
      <c r="F163" t="str">
        <f ca="1">_xlfn.XLOOKUP(Customers[[#This Row],[City]],Cities[City],Cities[State])</f>
        <v>West Bengal</v>
      </c>
      <c r="G163" t="str" cm="1">
        <f t="array" aca="1" ref="G163" ca="1">INDEX(Cities[Customer Type],RANDBETWEEN(1,3))</f>
        <v>VIP</v>
      </c>
    </row>
    <row r="164" spans="1:7" x14ac:dyDescent="0.3">
      <c r="A164" t="s">
        <v>336</v>
      </c>
      <c r="B164" t="str" cm="1">
        <f t="array" aca="1" ref="B164" ca="1">INDEX(FirstNames[First Name],RANDBETWEEN(1,30))&amp;" "&amp;INDEX(LastNames[Last Name],RANDBETWEEN(1,20))</f>
        <v>Deepika Menon</v>
      </c>
      <c r="C164" t="str">
        <f ca="1">_xlfn.XLOOKUP(LEFT(Customers[[#This Row],[Customer Name]],FIND(" ",Customers[[#This Row],[Customer Name]])-1),FirstNames[First Name],FirstNames[Gender])</f>
        <v>Female</v>
      </c>
      <c r="D164">
        <f t="shared" ca="1" si="2"/>
        <v>24</v>
      </c>
      <c r="E164" t="str" cm="1">
        <f t="array" aca="1" ref="E164" ca="1">INDEX(Cities[City],RANDBETWEEN(1,10))</f>
        <v>Kolkata</v>
      </c>
      <c r="F164" t="str">
        <f ca="1">_xlfn.XLOOKUP(Customers[[#This Row],[City]],Cities[City],Cities[State])</f>
        <v>West Bengal</v>
      </c>
      <c r="G164" t="str" cm="1">
        <f t="array" aca="1" ref="G164" ca="1">INDEX(Cities[Customer Type],RANDBETWEEN(1,3))</f>
        <v>Premium</v>
      </c>
    </row>
    <row r="165" spans="1:7" x14ac:dyDescent="0.3">
      <c r="A165" t="s">
        <v>337</v>
      </c>
      <c r="B165" t="str" cm="1">
        <f t="array" aca="1" ref="B165" ca="1">INDEX(FirstNames[First Name],RANDBETWEEN(1,30))&amp;" "&amp;INDEX(LastNames[Last Name],RANDBETWEEN(1,20))</f>
        <v>Deepika Das</v>
      </c>
      <c r="C165" t="str">
        <f ca="1">_xlfn.XLOOKUP(LEFT(Customers[[#This Row],[Customer Name]],FIND(" ",Customers[[#This Row],[Customer Name]])-1),FirstNames[First Name],FirstNames[Gender])</f>
        <v>Female</v>
      </c>
      <c r="D165">
        <f t="shared" ca="1" si="2"/>
        <v>55</v>
      </c>
      <c r="E165" t="str" cm="1">
        <f t="array" aca="1" ref="E165" ca="1">INDEX(Cities[City],RANDBETWEEN(1,10))</f>
        <v>Hyderabad</v>
      </c>
      <c r="F165" t="str">
        <f ca="1">_xlfn.XLOOKUP(Customers[[#This Row],[City]],Cities[City],Cities[State])</f>
        <v>Telangana</v>
      </c>
      <c r="G165" t="str" cm="1">
        <f t="array" aca="1" ref="G165" ca="1">INDEX(Cities[Customer Type],RANDBETWEEN(1,3))</f>
        <v>Premium</v>
      </c>
    </row>
    <row r="166" spans="1:7" x14ac:dyDescent="0.3">
      <c r="A166" t="s">
        <v>338</v>
      </c>
      <c r="B166" t="str" cm="1">
        <f t="array" aca="1" ref="B166" ca="1">INDEX(FirstNames[First Name],RANDBETWEEN(1,30))&amp;" "&amp;INDEX(LastNames[Last Name],RANDBETWEEN(1,20))</f>
        <v>Kavya Rao</v>
      </c>
      <c r="C166" t="str">
        <f ca="1">_xlfn.XLOOKUP(LEFT(Customers[[#This Row],[Customer Name]],FIND(" ",Customers[[#This Row],[Customer Name]])-1),FirstNames[First Name],FirstNames[Gender])</f>
        <v>Female</v>
      </c>
      <c r="D166">
        <f t="shared" ca="1" si="2"/>
        <v>43</v>
      </c>
      <c r="E166" t="str" cm="1">
        <f t="array" aca="1" ref="E166" ca="1">INDEX(Cities[City],RANDBETWEEN(1,10))</f>
        <v>Bengaluru</v>
      </c>
      <c r="F166" t="str">
        <f ca="1">_xlfn.XLOOKUP(Customers[[#This Row],[City]],Cities[City],Cities[State])</f>
        <v>Karnataka</v>
      </c>
      <c r="G166" t="str" cm="1">
        <f t="array" aca="1" ref="G166" ca="1">INDEX(Cities[Customer Type],RANDBETWEEN(1,3))</f>
        <v>Regular</v>
      </c>
    </row>
    <row r="167" spans="1:7" x14ac:dyDescent="0.3">
      <c r="A167" t="s">
        <v>339</v>
      </c>
      <c r="B167" t="str" cm="1">
        <f t="array" aca="1" ref="B167" ca="1">INDEX(FirstNames[First Name],RANDBETWEEN(1,30))&amp;" "&amp;INDEX(LastNames[Last Name],RANDBETWEEN(1,20))</f>
        <v>Priya Srinivas</v>
      </c>
      <c r="C167" t="str">
        <f ca="1">_xlfn.XLOOKUP(LEFT(Customers[[#This Row],[Customer Name]],FIND(" ",Customers[[#This Row],[Customer Name]])-1),FirstNames[First Name],FirstNames[Gender])</f>
        <v>Female</v>
      </c>
      <c r="D167">
        <f t="shared" ca="1" si="2"/>
        <v>29</v>
      </c>
      <c r="E167" t="str" cm="1">
        <f t="array" aca="1" ref="E167" ca="1">INDEX(Cities[City],RANDBETWEEN(1,10))</f>
        <v>Mumbai</v>
      </c>
      <c r="F167" t="str">
        <f ca="1">_xlfn.XLOOKUP(Customers[[#This Row],[City]],Cities[City],Cities[State])</f>
        <v>Maharashtra</v>
      </c>
      <c r="G167" t="str" cm="1">
        <f t="array" aca="1" ref="G167" ca="1">INDEX(Cities[Customer Type],RANDBETWEEN(1,3))</f>
        <v>Premium</v>
      </c>
    </row>
    <row r="168" spans="1:7" x14ac:dyDescent="0.3">
      <c r="A168" t="s">
        <v>340</v>
      </c>
      <c r="B168" t="str" cm="1">
        <f t="array" aca="1" ref="B168" ca="1">INDEX(FirstNames[First Name],RANDBETWEEN(1,30))&amp;" "&amp;INDEX(LastNames[Last Name],RANDBETWEEN(1,20))</f>
        <v>Karthik Joshi</v>
      </c>
      <c r="C168" t="str">
        <f ca="1">_xlfn.XLOOKUP(LEFT(Customers[[#This Row],[Customer Name]],FIND(" ",Customers[[#This Row],[Customer Name]])-1),FirstNames[First Name],FirstNames[Gender])</f>
        <v>Male</v>
      </c>
      <c r="D168">
        <f t="shared" ca="1" si="2"/>
        <v>18</v>
      </c>
      <c r="E168" t="str" cm="1">
        <f t="array" aca="1" ref="E168" ca="1">INDEX(Cities[City],RANDBETWEEN(1,10))</f>
        <v>Mumbai</v>
      </c>
      <c r="F168" t="str">
        <f ca="1">_xlfn.XLOOKUP(Customers[[#This Row],[City]],Cities[City],Cities[State])</f>
        <v>Maharashtra</v>
      </c>
      <c r="G168" t="str" cm="1">
        <f t="array" aca="1" ref="G168" ca="1">INDEX(Cities[Customer Type],RANDBETWEEN(1,3))</f>
        <v>Regular</v>
      </c>
    </row>
    <row r="169" spans="1:7" x14ac:dyDescent="0.3">
      <c r="A169" t="s">
        <v>341</v>
      </c>
      <c r="B169" t="str" cm="1">
        <f t="array" aca="1" ref="B169" ca="1">INDEX(FirstNames[First Name],RANDBETWEEN(1,30))&amp;" "&amp;INDEX(LastNames[Last Name],RANDBETWEEN(1,20))</f>
        <v>Rohan Kumar</v>
      </c>
      <c r="C169" t="str">
        <f ca="1">_xlfn.XLOOKUP(LEFT(Customers[[#This Row],[Customer Name]],FIND(" ",Customers[[#This Row],[Customer Name]])-1),FirstNames[First Name],FirstNames[Gender])</f>
        <v>Male</v>
      </c>
      <c r="D169">
        <f t="shared" ca="1" si="2"/>
        <v>37</v>
      </c>
      <c r="E169" t="str" cm="1">
        <f t="array" aca="1" ref="E169" ca="1">INDEX(Cities[City],RANDBETWEEN(1,10))</f>
        <v>Chennai</v>
      </c>
      <c r="F169" t="str">
        <f ca="1">_xlfn.XLOOKUP(Customers[[#This Row],[City]],Cities[City],Cities[State])</f>
        <v>Tamil Nadu</v>
      </c>
      <c r="G169" t="str" cm="1">
        <f t="array" aca="1" ref="G169" ca="1">INDEX(Cities[Customer Type],RANDBETWEEN(1,3))</f>
        <v>Premium</v>
      </c>
    </row>
    <row r="170" spans="1:7" x14ac:dyDescent="0.3">
      <c r="A170" t="s">
        <v>342</v>
      </c>
      <c r="B170" t="str" cm="1">
        <f t="array" aca="1" ref="B170" ca="1">INDEX(FirstNames[First Name],RANDBETWEEN(1,30))&amp;" "&amp;INDEX(LastNames[Last Name],RANDBETWEEN(1,20))</f>
        <v>Deepika Menon</v>
      </c>
      <c r="C170" t="str">
        <f ca="1">_xlfn.XLOOKUP(LEFT(Customers[[#This Row],[Customer Name]],FIND(" ",Customers[[#This Row],[Customer Name]])-1),FirstNames[First Name],FirstNames[Gender])</f>
        <v>Female</v>
      </c>
      <c r="D170">
        <f t="shared" ca="1" si="2"/>
        <v>29</v>
      </c>
      <c r="E170" t="str" cm="1">
        <f t="array" aca="1" ref="E170" ca="1">INDEX(Cities[City],RANDBETWEEN(1,10))</f>
        <v>Hyderabad</v>
      </c>
      <c r="F170" t="str">
        <f ca="1">_xlfn.XLOOKUP(Customers[[#This Row],[City]],Cities[City],Cities[State])</f>
        <v>Telangana</v>
      </c>
      <c r="G170" t="str" cm="1">
        <f t="array" aca="1" ref="G170" ca="1">INDEX(Cities[Customer Type],RANDBETWEEN(1,3))</f>
        <v>Premium</v>
      </c>
    </row>
    <row r="171" spans="1:7" x14ac:dyDescent="0.3">
      <c r="A171" t="s">
        <v>343</v>
      </c>
      <c r="B171" t="str" cm="1">
        <f t="array" aca="1" ref="B171" ca="1">INDEX(FirstNames[First Name],RANDBETWEEN(1,30))&amp;" "&amp;INDEX(LastNames[Last Name],RANDBETWEEN(1,20))</f>
        <v>Vikram Verma</v>
      </c>
      <c r="C171" t="str">
        <f ca="1">_xlfn.XLOOKUP(LEFT(Customers[[#This Row],[Customer Name]],FIND(" ",Customers[[#This Row],[Customer Name]])-1),FirstNames[First Name],FirstNames[Gender])</f>
        <v>Male</v>
      </c>
      <c r="D171">
        <f t="shared" ca="1" si="2"/>
        <v>31</v>
      </c>
      <c r="E171" t="str" cm="1">
        <f t="array" aca="1" ref="E171" ca="1">INDEX(Cities[City],RANDBETWEEN(1,10))</f>
        <v>Ahmedabad</v>
      </c>
      <c r="F171" t="str">
        <f ca="1">_xlfn.XLOOKUP(Customers[[#This Row],[City]],Cities[City],Cities[State])</f>
        <v>Gujarat</v>
      </c>
      <c r="G171" t="str" cm="1">
        <f t="array" aca="1" ref="G171" ca="1">INDEX(Cities[Customer Type],RANDBETWEEN(1,3))</f>
        <v>Premium</v>
      </c>
    </row>
    <row r="172" spans="1:7" x14ac:dyDescent="0.3">
      <c r="A172" t="s">
        <v>344</v>
      </c>
      <c r="B172" t="str" cm="1">
        <f t="array" aca="1" ref="B172" ca="1">INDEX(FirstNames[First Name],RANDBETWEEN(1,30))&amp;" "&amp;INDEX(LastNames[Last Name],RANDBETWEEN(1,20))</f>
        <v>Keerthana Kapoor</v>
      </c>
      <c r="C172" t="str">
        <f ca="1">_xlfn.XLOOKUP(LEFT(Customers[[#This Row],[Customer Name]],FIND(" ",Customers[[#This Row],[Customer Name]])-1),FirstNames[First Name],FirstNames[Gender])</f>
        <v>Female</v>
      </c>
      <c r="D172">
        <f t="shared" ca="1" si="2"/>
        <v>58</v>
      </c>
      <c r="E172" t="str" cm="1">
        <f t="array" aca="1" ref="E172" ca="1">INDEX(Cities[City],RANDBETWEEN(1,10))</f>
        <v>Kochi</v>
      </c>
      <c r="F172" t="str">
        <f ca="1">_xlfn.XLOOKUP(Customers[[#This Row],[City]],Cities[City],Cities[State])</f>
        <v>Kerala</v>
      </c>
      <c r="G172" t="str" cm="1">
        <f t="array" aca="1" ref="G172" ca="1">INDEX(Cities[Customer Type],RANDBETWEEN(1,3))</f>
        <v>Premium</v>
      </c>
    </row>
    <row r="173" spans="1:7" x14ac:dyDescent="0.3">
      <c r="A173" t="s">
        <v>345</v>
      </c>
      <c r="B173" t="str" cm="1">
        <f t="array" aca="1" ref="B173" ca="1">INDEX(FirstNames[First Name],RANDBETWEEN(1,30))&amp;" "&amp;INDEX(LastNames[Last Name],RANDBETWEEN(1,20))</f>
        <v>Keerthana Khan</v>
      </c>
      <c r="C173" t="str">
        <f ca="1">_xlfn.XLOOKUP(LEFT(Customers[[#This Row],[Customer Name]],FIND(" ",Customers[[#This Row],[Customer Name]])-1),FirstNames[First Name],FirstNames[Gender])</f>
        <v>Female</v>
      </c>
      <c r="D173">
        <f t="shared" ca="1" si="2"/>
        <v>24</v>
      </c>
      <c r="E173" t="str" cm="1">
        <f t="array" aca="1" ref="E173" ca="1">INDEX(Cities[City],RANDBETWEEN(1,10))</f>
        <v>Ahmedabad</v>
      </c>
      <c r="F173" t="str">
        <f ca="1">_xlfn.XLOOKUP(Customers[[#This Row],[City]],Cities[City],Cities[State])</f>
        <v>Gujarat</v>
      </c>
      <c r="G173" t="str" cm="1">
        <f t="array" aca="1" ref="G173" ca="1">INDEX(Cities[Customer Type],RANDBETWEEN(1,3))</f>
        <v>Regular</v>
      </c>
    </row>
    <row r="174" spans="1:7" x14ac:dyDescent="0.3">
      <c r="A174" t="s">
        <v>346</v>
      </c>
      <c r="B174" t="str" cm="1">
        <f t="array" aca="1" ref="B174" ca="1">INDEX(FirstNames[First Name],RANDBETWEEN(1,30))&amp;" "&amp;INDEX(LastNames[Last Name],RANDBETWEEN(1,20))</f>
        <v>Vikram Patel</v>
      </c>
      <c r="C174" t="str">
        <f ca="1">_xlfn.XLOOKUP(LEFT(Customers[[#This Row],[Customer Name]],FIND(" ",Customers[[#This Row],[Customer Name]])-1),FirstNames[First Name],FirstNames[Gender])</f>
        <v>Male</v>
      </c>
      <c r="D174">
        <f t="shared" ca="1" si="2"/>
        <v>53</v>
      </c>
      <c r="E174" t="str" cm="1">
        <f t="array" aca="1" ref="E174" ca="1">INDEX(Cities[City],RANDBETWEEN(1,10))</f>
        <v>Bengaluru</v>
      </c>
      <c r="F174" t="str">
        <f ca="1">_xlfn.XLOOKUP(Customers[[#This Row],[City]],Cities[City],Cities[State])</f>
        <v>Karnataka</v>
      </c>
      <c r="G174" t="str" cm="1">
        <f t="array" aca="1" ref="G174" ca="1">INDEX(Cities[Customer Type],RANDBETWEEN(1,3))</f>
        <v>VIP</v>
      </c>
    </row>
    <row r="175" spans="1:7" x14ac:dyDescent="0.3">
      <c r="A175" t="s">
        <v>347</v>
      </c>
      <c r="B175" t="str" cm="1">
        <f t="array" aca="1" ref="B175" ca="1">INDEX(FirstNames[First Name],RANDBETWEEN(1,30))&amp;" "&amp;INDEX(LastNames[Last Name],RANDBETWEEN(1,20))</f>
        <v>Keerthana Das</v>
      </c>
      <c r="C175" t="str">
        <f ca="1">_xlfn.XLOOKUP(LEFT(Customers[[#This Row],[Customer Name]],FIND(" ",Customers[[#This Row],[Customer Name]])-1),FirstNames[First Name],FirstNames[Gender])</f>
        <v>Female</v>
      </c>
      <c r="D175">
        <f t="shared" ca="1" si="2"/>
        <v>35</v>
      </c>
      <c r="E175" t="str" cm="1">
        <f t="array" aca="1" ref="E175" ca="1">INDEX(Cities[City],RANDBETWEEN(1,10))</f>
        <v>Lucknow</v>
      </c>
      <c r="F175" t="str">
        <f ca="1">_xlfn.XLOOKUP(Customers[[#This Row],[City]],Cities[City],Cities[State])</f>
        <v>Uttar Pradesh</v>
      </c>
      <c r="G175" t="str" cm="1">
        <f t="array" aca="1" ref="G175" ca="1">INDEX(Cities[Customer Type],RANDBETWEEN(1,3))</f>
        <v>Premium</v>
      </c>
    </row>
    <row r="176" spans="1:7" x14ac:dyDescent="0.3">
      <c r="A176" t="s">
        <v>348</v>
      </c>
      <c r="B176" t="str" cm="1">
        <f t="array" aca="1" ref="B176" ca="1">INDEX(FirstNames[First Name],RANDBETWEEN(1,30))&amp;" "&amp;INDEX(LastNames[Last Name],RANDBETWEEN(1,20))</f>
        <v>Deepika Khan</v>
      </c>
      <c r="C176" t="str">
        <f ca="1">_xlfn.XLOOKUP(LEFT(Customers[[#This Row],[Customer Name]],FIND(" ",Customers[[#This Row],[Customer Name]])-1),FirstNames[First Name],FirstNames[Gender])</f>
        <v>Female</v>
      </c>
      <c r="D176">
        <f t="shared" ca="1" si="2"/>
        <v>23</v>
      </c>
      <c r="E176" t="str" cm="1">
        <f t="array" aca="1" ref="E176" ca="1">INDEX(Cities[City],RANDBETWEEN(1,10))</f>
        <v>Pune</v>
      </c>
      <c r="F176" t="str">
        <f ca="1">_xlfn.XLOOKUP(Customers[[#This Row],[City]],Cities[City],Cities[State])</f>
        <v>Maharashtra</v>
      </c>
      <c r="G176" t="str" cm="1">
        <f t="array" aca="1" ref="G176" ca="1">INDEX(Cities[Customer Type],RANDBETWEEN(1,3))</f>
        <v>Regular</v>
      </c>
    </row>
    <row r="177" spans="1:7" x14ac:dyDescent="0.3">
      <c r="A177" t="s">
        <v>349</v>
      </c>
      <c r="B177" t="str" cm="1">
        <f t="array" aca="1" ref="B177" ca="1">INDEX(FirstNames[First Name],RANDBETWEEN(1,30))&amp;" "&amp;INDEX(LastNames[Last Name],RANDBETWEEN(1,20))</f>
        <v>Rahul Kumar</v>
      </c>
      <c r="C177" t="str">
        <f ca="1">_xlfn.XLOOKUP(LEFT(Customers[[#This Row],[Customer Name]],FIND(" ",Customers[[#This Row],[Customer Name]])-1),FirstNames[First Name],FirstNames[Gender])</f>
        <v>Male</v>
      </c>
      <c r="D177">
        <f t="shared" ca="1" si="2"/>
        <v>60</v>
      </c>
      <c r="E177" t="str" cm="1">
        <f t="array" aca="1" ref="E177" ca="1">INDEX(Cities[City],RANDBETWEEN(1,10))</f>
        <v>Hyderabad</v>
      </c>
      <c r="F177" t="str">
        <f ca="1">_xlfn.XLOOKUP(Customers[[#This Row],[City]],Cities[City],Cities[State])</f>
        <v>Telangana</v>
      </c>
      <c r="G177" t="str" cm="1">
        <f t="array" aca="1" ref="G177" ca="1">INDEX(Cities[Customer Type],RANDBETWEEN(1,3))</f>
        <v>VIP</v>
      </c>
    </row>
    <row r="178" spans="1:7" x14ac:dyDescent="0.3">
      <c r="A178" t="s">
        <v>350</v>
      </c>
      <c r="B178" t="str" cm="1">
        <f t="array" aca="1" ref="B178" ca="1">INDEX(FirstNames[First Name],RANDBETWEEN(1,30))&amp;" "&amp;INDEX(LastNames[Last Name],RANDBETWEEN(1,20))</f>
        <v>Akash Kapoor</v>
      </c>
      <c r="C178" t="str">
        <f ca="1">_xlfn.XLOOKUP(LEFT(Customers[[#This Row],[Customer Name]],FIND(" ",Customers[[#This Row],[Customer Name]])-1),FirstNames[First Name],FirstNames[Gender])</f>
        <v>Male</v>
      </c>
      <c r="D178">
        <f t="shared" ca="1" si="2"/>
        <v>26</v>
      </c>
      <c r="E178" t="str" cm="1">
        <f t="array" aca="1" ref="E178" ca="1">INDEX(Cities[City],RANDBETWEEN(1,10))</f>
        <v>Pune</v>
      </c>
      <c r="F178" t="str">
        <f ca="1">_xlfn.XLOOKUP(Customers[[#This Row],[City]],Cities[City],Cities[State])</f>
        <v>Maharashtra</v>
      </c>
      <c r="G178" t="str" cm="1">
        <f t="array" aca="1" ref="G178" ca="1">INDEX(Cities[Customer Type],RANDBETWEEN(1,3))</f>
        <v>Regular</v>
      </c>
    </row>
    <row r="179" spans="1:7" x14ac:dyDescent="0.3">
      <c r="A179" t="s">
        <v>351</v>
      </c>
      <c r="B179" t="str" cm="1">
        <f t="array" aca="1" ref="B179" ca="1">INDEX(FirstNames[First Name],RANDBETWEEN(1,30))&amp;" "&amp;INDEX(LastNames[Last Name],RANDBETWEEN(1,20))</f>
        <v>Pooja Ghosh</v>
      </c>
      <c r="C179" t="str">
        <f ca="1">_xlfn.XLOOKUP(LEFT(Customers[[#This Row],[Customer Name]],FIND(" ",Customers[[#This Row],[Customer Name]])-1),FirstNames[First Name],FirstNames[Gender])</f>
        <v>Female</v>
      </c>
      <c r="D179">
        <f t="shared" ca="1" si="2"/>
        <v>24</v>
      </c>
      <c r="E179" t="str" cm="1">
        <f t="array" aca="1" ref="E179" ca="1">INDEX(Cities[City],RANDBETWEEN(1,10))</f>
        <v>Mumbai</v>
      </c>
      <c r="F179" t="str">
        <f ca="1">_xlfn.XLOOKUP(Customers[[#This Row],[City]],Cities[City],Cities[State])</f>
        <v>Maharashtra</v>
      </c>
      <c r="G179" t="str" cm="1">
        <f t="array" aca="1" ref="G179" ca="1">INDEX(Cities[Customer Type],RANDBETWEEN(1,3))</f>
        <v>Premium</v>
      </c>
    </row>
    <row r="180" spans="1:7" x14ac:dyDescent="0.3">
      <c r="A180" t="s">
        <v>352</v>
      </c>
      <c r="B180" t="str" cm="1">
        <f t="array" aca="1" ref="B180" ca="1">INDEX(FirstNames[First Name],RANDBETWEEN(1,30))&amp;" "&amp;INDEX(LastNames[Last Name],RANDBETWEEN(1,20))</f>
        <v>Lakshmi Yadav</v>
      </c>
      <c r="C180" t="str">
        <f ca="1">_xlfn.XLOOKUP(LEFT(Customers[[#This Row],[Customer Name]],FIND(" ",Customers[[#This Row],[Customer Name]])-1),FirstNames[First Name],FirstNames[Gender])</f>
        <v>Female</v>
      </c>
      <c r="D180">
        <f t="shared" ca="1" si="2"/>
        <v>55</v>
      </c>
      <c r="E180" t="str" cm="1">
        <f t="array" aca="1" ref="E180" ca="1">INDEX(Cities[City],RANDBETWEEN(1,10))</f>
        <v>Mumbai</v>
      </c>
      <c r="F180" t="str">
        <f ca="1">_xlfn.XLOOKUP(Customers[[#This Row],[City]],Cities[City],Cities[State])</f>
        <v>Maharashtra</v>
      </c>
      <c r="G180" t="str" cm="1">
        <f t="array" aca="1" ref="G180" ca="1">INDEX(Cities[Customer Type],RANDBETWEEN(1,3))</f>
        <v>Regular</v>
      </c>
    </row>
    <row r="181" spans="1:7" x14ac:dyDescent="0.3">
      <c r="A181" t="s">
        <v>353</v>
      </c>
      <c r="B181" t="str" cm="1">
        <f t="array" aca="1" ref="B181" ca="1">INDEX(FirstNames[First Name],RANDBETWEEN(1,30))&amp;" "&amp;INDEX(LastNames[Last Name],RANDBETWEEN(1,20))</f>
        <v>Neha Khan</v>
      </c>
      <c r="C181" t="str">
        <f ca="1">_xlfn.XLOOKUP(LEFT(Customers[[#This Row],[Customer Name]],FIND(" ",Customers[[#This Row],[Customer Name]])-1),FirstNames[First Name],FirstNames[Gender])</f>
        <v>Female</v>
      </c>
      <c r="D181">
        <f t="shared" ca="1" si="2"/>
        <v>31</v>
      </c>
      <c r="E181" t="str" cm="1">
        <f t="array" aca="1" ref="E181" ca="1">INDEX(Cities[City],RANDBETWEEN(1,10))</f>
        <v>Jaipur</v>
      </c>
      <c r="F181" t="str">
        <f ca="1">_xlfn.XLOOKUP(Customers[[#This Row],[City]],Cities[City],Cities[State])</f>
        <v>Rajasthan</v>
      </c>
      <c r="G181" t="str" cm="1">
        <f t="array" aca="1" ref="G181" ca="1">INDEX(Cities[Customer Type],RANDBETWEEN(1,3))</f>
        <v>VIP</v>
      </c>
    </row>
    <row r="182" spans="1:7" x14ac:dyDescent="0.3">
      <c r="A182" t="s">
        <v>354</v>
      </c>
      <c r="B182" t="str" cm="1">
        <f t="array" aca="1" ref="B182" ca="1">INDEX(FirstNames[First Name],RANDBETWEEN(1,30))&amp;" "&amp;INDEX(LastNames[Last Name],RANDBETWEEN(1,20))</f>
        <v>Sneha Malhotra</v>
      </c>
      <c r="C182" t="str">
        <f ca="1">_xlfn.XLOOKUP(LEFT(Customers[[#This Row],[Customer Name]],FIND(" ",Customers[[#This Row],[Customer Name]])-1),FirstNames[First Name],FirstNames[Gender])</f>
        <v>Female</v>
      </c>
      <c r="D182">
        <f t="shared" ca="1" si="2"/>
        <v>31</v>
      </c>
      <c r="E182" t="str" cm="1">
        <f t="array" aca="1" ref="E182" ca="1">INDEX(Cities[City],RANDBETWEEN(1,10))</f>
        <v>Jaipur</v>
      </c>
      <c r="F182" t="str">
        <f ca="1">_xlfn.XLOOKUP(Customers[[#This Row],[City]],Cities[City],Cities[State])</f>
        <v>Rajasthan</v>
      </c>
      <c r="G182" t="str" cm="1">
        <f t="array" aca="1" ref="G182" ca="1">INDEX(Cities[Customer Type],RANDBETWEEN(1,3))</f>
        <v>Regular</v>
      </c>
    </row>
    <row r="183" spans="1:7" x14ac:dyDescent="0.3">
      <c r="A183" t="s">
        <v>355</v>
      </c>
      <c r="B183" t="str" cm="1">
        <f t="array" aca="1" ref="B183" ca="1">INDEX(FirstNames[First Name],RANDBETWEEN(1,30))&amp;" "&amp;INDEX(LastNames[Last Name],RANDBETWEEN(1,20))</f>
        <v>Aditya Gupta</v>
      </c>
      <c r="C183" t="str">
        <f ca="1">_xlfn.XLOOKUP(LEFT(Customers[[#This Row],[Customer Name]],FIND(" ",Customers[[#This Row],[Customer Name]])-1),FirstNames[First Name],FirstNames[Gender])</f>
        <v>Male</v>
      </c>
      <c r="D183">
        <f t="shared" ca="1" si="2"/>
        <v>59</v>
      </c>
      <c r="E183" t="str" cm="1">
        <f t="array" aca="1" ref="E183" ca="1">INDEX(Cities[City],RANDBETWEEN(1,10))</f>
        <v>Kolkata</v>
      </c>
      <c r="F183" t="str">
        <f ca="1">_xlfn.XLOOKUP(Customers[[#This Row],[City]],Cities[City],Cities[State])</f>
        <v>West Bengal</v>
      </c>
      <c r="G183" t="str" cm="1">
        <f t="array" aca="1" ref="G183" ca="1">INDEX(Cities[Customer Type],RANDBETWEEN(1,3))</f>
        <v>Regular</v>
      </c>
    </row>
    <row r="184" spans="1:7" x14ac:dyDescent="0.3">
      <c r="A184" t="s">
        <v>356</v>
      </c>
      <c r="B184" t="str" cm="1">
        <f t="array" aca="1" ref="B184" ca="1">INDEX(FirstNames[First Name],RANDBETWEEN(1,30))&amp;" "&amp;INDEX(LastNames[Last Name],RANDBETWEEN(1,20))</f>
        <v>Keerthana Singh</v>
      </c>
      <c r="C184" t="str">
        <f ca="1">_xlfn.XLOOKUP(LEFT(Customers[[#This Row],[Customer Name]],FIND(" ",Customers[[#This Row],[Customer Name]])-1),FirstNames[First Name],FirstNames[Gender])</f>
        <v>Female</v>
      </c>
      <c r="D184">
        <f t="shared" ca="1" si="2"/>
        <v>44</v>
      </c>
      <c r="E184" t="str" cm="1">
        <f t="array" aca="1" ref="E184" ca="1">INDEX(Cities[City],RANDBETWEEN(1,10))</f>
        <v>Ahmedabad</v>
      </c>
      <c r="F184" t="str">
        <f ca="1">_xlfn.XLOOKUP(Customers[[#This Row],[City]],Cities[City],Cities[State])</f>
        <v>Gujarat</v>
      </c>
      <c r="G184" t="str" cm="1">
        <f t="array" aca="1" ref="G184" ca="1">INDEX(Cities[Customer Type],RANDBETWEEN(1,3))</f>
        <v>Regular</v>
      </c>
    </row>
    <row r="185" spans="1:7" x14ac:dyDescent="0.3">
      <c r="A185" t="s">
        <v>357</v>
      </c>
      <c r="B185" t="str" cm="1">
        <f t="array" aca="1" ref="B185" ca="1">INDEX(FirstNames[First Name],RANDBETWEEN(1,30))&amp;" "&amp;INDEX(LastNames[Last Name],RANDBETWEEN(1,20))</f>
        <v>Varun Srinivas</v>
      </c>
      <c r="C185" t="str">
        <f ca="1">_xlfn.XLOOKUP(LEFT(Customers[[#This Row],[Customer Name]],FIND(" ",Customers[[#This Row],[Customer Name]])-1),FirstNames[First Name],FirstNames[Gender])</f>
        <v>Male</v>
      </c>
      <c r="D185">
        <f t="shared" ca="1" si="2"/>
        <v>19</v>
      </c>
      <c r="E185" t="str" cm="1">
        <f t="array" aca="1" ref="E185" ca="1">INDEX(Cities[City],RANDBETWEEN(1,10))</f>
        <v>Pune</v>
      </c>
      <c r="F185" t="str">
        <f ca="1">_xlfn.XLOOKUP(Customers[[#This Row],[City]],Cities[City],Cities[State])</f>
        <v>Maharashtra</v>
      </c>
      <c r="G185" t="str" cm="1">
        <f t="array" aca="1" ref="G185" ca="1">INDEX(Cities[Customer Type],RANDBETWEEN(1,3))</f>
        <v>Regular</v>
      </c>
    </row>
    <row r="186" spans="1:7" x14ac:dyDescent="0.3">
      <c r="A186" t="s">
        <v>358</v>
      </c>
      <c r="B186" t="str" cm="1">
        <f t="array" aca="1" ref="B186" ca="1">INDEX(FirstNames[First Name],RANDBETWEEN(1,30))&amp;" "&amp;INDEX(LastNames[Last Name],RANDBETWEEN(1,20))</f>
        <v>Aisha Kumar</v>
      </c>
      <c r="C186" t="str">
        <f ca="1">_xlfn.XLOOKUP(LEFT(Customers[[#This Row],[Customer Name]],FIND(" ",Customers[[#This Row],[Customer Name]])-1),FirstNames[First Name],FirstNames[Gender])</f>
        <v>Female</v>
      </c>
      <c r="D186">
        <f t="shared" ca="1" si="2"/>
        <v>44</v>
      </c>
      <c r="E186" t="str" cm="1">
        <f t="array" aca="1" ref="E186" ca="1">INDEX(Cities[City],RANDBETWEEN(1,10))</f>
        <v>Kolkata</v>
      </c>
      <c r="F186" t="str">
        <f ca="1">_xlfn.XLOOKUP(Customers[[#This Row],[City]],Cities[City],Cities[State])</f>
        <v>West Bengal</v>
      </c>
      <c r="G186" t="str" cm="1">
        <f t="array" aca="1" ref="G186" ca="1">INDEX(Cities[Customer Type],RANDBETWEEN(1,3))</f>
        <v>Regular</v>
      </c>
    </row>
    <row r="187" spans="1:7" x14ac:dyDescent="0.3">
      <c r="A187" t="s">
        <v>359</v>
      </c>
      <c r="B187" t="str" cm="1">
        <f t="array" aca="1" ref="B187" ca="1">INDEX(FirstNames[First Name],RANDBETWEEN(1,30))&amp;" "&amp;INDEX(LastNames[Last Name],RANDBETWEEN(1,20))</f>
        <v>Shreya Kumar</v>
      </c>
      <c r="C187" t="str">
        <f ca="1">_xlfn.XLOOKUP(LEFT(Customers[[#This Row],[Customer Name]],FIND(" ",Customers[[#This Row],[Customer Name]])-1),FirstNames[First Name],FirstNames[Gender])</f>
        <v>Female</v>
      </c>
      <c r="D187">
        <f t="shared" ca="1" si="2"/>
        <v>51</v>
      </c>
      <c r="E187" t="str" cm="1">
        <f t="array" aca="1" ref="E187" ca="1">INDEX(Cities[City],RANDBETWEEN(1,10))</f>
        <v>Jaipur</v>
      </c>
      <c r="F187" t="str">
        <f ca="1">_xlfn.XLOOKUP(Customers[[#This Row],[City]],Cities[City],Cities[State])</f>
        <v>Rajasthan</v>
      </c>
      <c r="G187" t="str" cm="1">
        <f t="array" aca="1" ref="G187" ca="1">INDEX(Cities[Customer Type],RANDBETWEEN(1,3))</f>
        <v>Regular</v>
      </c>
    </row>
    <row r="188" spans="1:7" x14ac:dyDescent="0.3">
      <c r="A188" t="s">
        <v>360</v>
      </c>
      <c r="B188" t="str" cm="1">
        <f t="array" aca="1" ref="B188" ca="1">INDEX(FirstNames[First Name],RANDBETWEEN(1,30))&amp;" "&amp;INDEX(LastNames[Last Name],RANDBETWEEN(1,20))</f>
        <v>Aarav Rao</v>
      </c>
      <c r="C188" t="str">
        <f ca="1">_xlfn.XLOOKUP(LEFT(Customers[[#This Row],[Customer Name]],FIND(" ",Customers[[#This Row],[Customer Name]])-1),FirstNames[First Name],FirstNames[Gender])</f>
        <v>Male</v>
      </c>
      <c r="D188">
        <f t="shared" ca="1" si="2"/>
        <v>36</v>
      </c>
      <c r="E188" t="str" cm="1">
        <f t="array" aca="1" ref="E188" ca="1">INDEX(Cities[City],RANDBETWEEN(1,10))</f>
        <v>Lucknow</v>
      </c>
      <c r="F188" t="str">
        <f ca="1">_xlfn.XLOOKUP(Customers[[#This Row],[City]],Cities[City],Cities[State])</f>
        <v>Uttar Pradesh</v>
      </c>
      <c r="G188" t="str" cm="1">
        <f t="array" aca="1" ref="G188" ca="1">INDEX(Cities[Customer Type],RANDBETWEEN(1,3))</f>
        <v>Premium</v>
      </c>
    </row>
    <row r="189" spans="1:7" x14ac:dyDescent="0.3">
      <c r="A189" t="s">
        <v>361</v>
      </c>
      <c r="B189" t="str" cm="1">
        <f t="array" aca="1" ref="B189" ca="1">INDEX(FirstNames[First Name],RANDBETWEEN(1,30))&amp;" "&amp;INDEX(LastNames[Last Name],RANDBETWEEN(1,20))</f>
        <v>Keerthana Menon</v>
      </c>
      <c r="C189" t="str">
        <f ca="1">_xlfn.XLOOKUP(LEFT(Customers[[#This Row],[Customer Name]],FIND(" ",Customers[[#This Row],[Customer Name]])-1),FirstNames[First Name],FirstNames[Gender])</f>
        <v>Female</v>
      </c>
      <c r="D189">
        <f t="shared" ca="1" si="2"/>
        <v>39</v>
      </c>
      <c r="E189" t="str" cm="1">
        <f t="array" aca="1" ref="E189" ca="1">INDEX(Cities[City],RANDBETWEEN(1,10))</f>
        <v>Lucknow</v>
      </c>
      <c r="F189" t="str">
        <f ca="1">_xlfn.XLOOKUP(Customers[[#This Row],[City]],Cities[City],Cities[State])</f>
        <v>Uttar Pradesh</v>
      </c>
      <c r="G189" t="str" cm="1">
        <f t="array" aca="1" ref="G189" ca="1">INDEX(Cities[Customer Type],RANDBETWEEN(1,3))</f>
        <v>VIP</v>
      </c>
    </row>
    <row r="190" spans="1:7" x14ac:dyDescent="0.3">
      <c r="A190" t="s">
        <v>362</v>
      </c>
      <c r="B190" t="str" cm="1">
        <f t="array" aca="1" ref="B190" ca="1">INDEX(FirstNames[First Name],RANDBETWEEN(1,30))&amp;" "&amp;INDEX(LastNames[Last Name],RANDBETWEEN(1,20))</f>
        <v>Priya Reddy</v>
      </c>
      <c r="C190" t="str">
        <f ca="1">_xlfn.XLOOKUP(LEFT(Customers[[#This Row],[Customer Name]],FIND(" ",Customers[[#This Row],[Customer Name]])-1),FirstNames[First Name],FirstNames[Gender])</f>
        <v>Female</v>
      </c>
      <c r="D190">
        <f t="shared" ca="1" si="2"/>
        <v>54</v>
      </c>
      <c r="E190" t="str" cm="1">
        <f t="array" aca="1" ref="E190" ca="1">INDEX(Cities[City],RANDBETWEEN(1,10))</f>
        <v>Mumbai</v>
      </c>
      <c r="F190" t="str">
        <f ca="1">_xlfn.XLOOKUP(Customers[[#This Row],[City]],Cities[City],Cities[State])</f>
        <v>Maharashtra</v>
      </c>
      <c r="G190" t="str" cm="1">
        <f t="array" aca="1" ref="G190" ca="1">INDEX(Cities[Customer Type],RANDBETWEEN(1,3))</f>
        <v>Premium</v>
      </c>
    </row>
    <row r="191" spans="1:7" x14ac:dyDescent="0.3">
      <c r="A191" t="s">
        <v>363</v>
      </c>
      <c r="B191" t="str" cm="1">
        <f t="array" aca="1" ref="B191" ca="1">INDEX(FirstNames[First Name],RANDBETWEEN(1,30))&amp;" "&amp;INDEX(LastNames[Last Name],RANDBETWEEN(1,20))</f>
        <v>Rohan Kumar</v>
      </c>
      <c r="C191" t="str">
        <f ca="1">_xlfn.XLOOKUP(LEFT(Customers[[#This Row],[Customer Name]],FIND(" ",Customers[[#This Row],[Customer Name]])-1),FirstNames[First Name],FirstNames[Gender])</f>
        <v>Male</v>
      </c>
      <c r="D191">
        <f t="shared" ca="1" si="2"/>
        <v>19</v>
      </c>
      <c r="E191" t="str" cm="1">
        <f t="array" aca="1" ref="E191" ca="1">INDEX(Cities[City],RANDBETWEEN(1,10))</f>
        <v>Chennai</v>
      </c>
      <c r="F191" t="str">
        <f ca="1">_xlfn.XLOOKUP(Customers[[#This Row],[City]],Cities[City],Cities[State])</f>
        <v>Tamil Nadu</v>
      </c>
      <c r="G191" t="str" cm="1">
        <f t="array" aca="1" ref="G191" ca="1">INDEX(Cities[Customer Type],RANDBETWEEN(1,3))</f>
        <v>Premium</v>
      </c>
    </row>
    <row r="192" spans="1:7" x14ac:dyDescent="0.3">
      <c r="A192" t="s">
        <v>364</v>
      </c>
      <c r="B192" t="str" cm="1">
        <f t="array" aca="1" ref="B192" ca="1">INDEX(FirstNames[First Name],RANDBETWEEN(1,30))&amp;" "&amp;INDEX(LastNames[Last Name],RANDBETWEEN(1,20))</f>
        <v>Lakshmi Joshi</v>
      </c>
      <c r="C192" t="str">
        <f ca="1">_xlfn.XLOOKUP(LEFT(Customers[[#This Row],[Customer Name]],FIND(" ",Customers[[#This Row],[Customer Name]])-1),FirstNames[First Name],FirstNames[Gender])</f>
        <v>Female</v>
      </c>
      <c r="D192">
        <f t="shared" ca="1" si="2"/>
        <v>53</v>
      </c>
      <c r="E192" t="str" cm="1">
        <f t="array" aca="1" ref="E192" ca="1">INDEX(Cities[City],RANDBETWEEN(1,10))</f>
        <v>Chennai</v>
      </c>
      <c r="F192" t="str">
        <f ca="1">_xlfn.XLOOKUP(Customers[[#This Row],[City]],Cities[City],Cities[State])</f>
        <v>Tamil Nadu</v>
      </c>
      <c r="G192" t="str" cm="1">
        <f t="array" aca="1" ref="G192" ca="1">INDEX(Cities[Customer Type],RANDBETWEEN(1,3))</f>
        <v>Premium</v>
      </c>
    </row>
    <row r="193" spans="1:7" x14ac:dyDescent="0.3">
      <c r="A193" t="s">
        <v>365</v>
      </c>
      <c r="B193" t="str" cm="1">
        <f t="array" aca="1" ref="B193" ca="1">INDEX(FirstNames[First Name],RANDBETWEEN(1,30))&amp;" "&amp;INDEX(LastNames[Last Name],RANDBETWEEN(1,20))</f>
        <v>Harini Yadav</v>
      </c>
      <c r="C193" t="str">
        <f ca="1">_xlfn.XLOOKUP(LEFT(Customers[[#This Row],[Customer Name]],FIND(" ",Customers[[#This Row],[Customer Name]])-1),FirstNames[First Name],FirstNames[Gender])</f>
        <v>Female</v>
      </c>
      <c r="D193">
        <f t="shared" ca="1" si="2"/>
        <v>49</v>
      </c>
      <c r="E193" t="str" cm="1">
        <f t="array" aca="1" ref="E193" ca="1">INDEX(Cities[City],RANDBETWEEN(1,10))</f>
        <v>Lucknow</v>
      </c>
      <c r="F193" t="str">
        <f ca="1">_xlfn.XLOOKUP(Customers[[#This Row],[City]],Cities[City],Cities[State])</f>
        <v>Uttar Pradesh</v>
      </c>
      <c r="G193" t="str" cm="1">
        <f t="array" aca="1" ref="G193" ca="1">INDEX(Cities[Customer Type],RANDBETWEEN(1,3))</f>
        <v>VIP</v>
      </c>
    </row>
    <row r="194" spans="1:7" x14ac:dyDescent="0.3">
      <c r="A194" t="s">
        <v>366</v>
      </c>
      <c r="B194" t="str" cm="1">
        <f t="array" aca="1" ref="B194" ca="1">INDEX(FirstNames[First Name],RANDBETWEEN(1,30))&amp;" "&amp;INDEX(LastNames[Last Name],RANDBETWEEN(1,20))</f>
        <v>Nitin Iyer</v>
      </c>
      <c r="C194" t="str">
        <f ca="1">_xlfn.XLOOKUP(LEFT(Customers[[#This Row],[Customer Name]],FIND(" ",Customers[[#This Row],[Customer Name]])-1),FirstNames[First Name],FirstNames[Gender])</f>
        <v>Male</v>
      </c>
      <c r="D194">
        <f t="shared" ca="1" si="2"/>
        <v>42</v>
      </c>
      <c r="E194" t="str" cm="1">
        <f t="array" aca="1" ref="E194" ca="1">INDEX(Cities[City],RANDBETWEEN(1,10))</f>
        <v>Pune</v>
      </c>
      <c r="F194" t="str">
        <f ca="1">_xlfn.XLOOKUP(Customers[[#This Row],[City]],Cities[City],Cities[State])</f>
        <v>Maharashtra</v>
      </c>
      <c r="G194" t="str" cm="1">
        <f t="array" aca="1" ref="G194" ca="1">INDEX(Cities[Customer Type],RANDBETWEEN(1,3))</f>
        <v>Premium</v>
      </c>
    </row>
    <row r="195" spans="1:7" x14ac:dyDescent="0.3">
      <c r="A195" t="s">
        <v>367</v>
      </c>
      <c r="B195" t="str" cm="1">
        <f t="array" aca="1" ref="B195" ca="1">INDEX(FirstNames[First Name],RANDBETWEEN(1,30))&amp;" "&amp;INDEX(LastNames[Last Name],RANDBETWEEN(1,20))</f>
        <v>Karthik Rao</v>
      </c>
      <c r="C195" t="str">
        <f ca="1">_xlfn.XLOOKUP(LEFT(Customers[[#This Row],[Customer Name]],FIND(" ",Customers[[#This Row],[Customer Name]])-1),FirstNames[First Name],FirstNames[Gender])</f>
        <v>Male</v>
      </c>
      <c r="D195">
        <f t="shared" ca="1" si="2"/>
        <v>32</v>
      </c>
      <c r="E195" t="str" cm="1">
        <f t="array" aca="1" ref="E195" ca="1">INDEX(Cities[City],RANDBETWEEN(1,10))</f>
        <v>Hyderabad</v>
      </c>
      <c r="F195" t="str">
        <f ca="1">_xlfn.XLOOKUP(Customers[[#This Row],[City]],Cities[City],Cities[State])</f>
        <v>Telangana</v>
      </c>
      <c r="G195" t="str" cm="1">
        <f t="array" aca="1" ref="G195" ca="1">INDEX(Cities[Customer Type],RANDBETWEEN(1,3))</f>
        <v>VIP</v>
      </c>
    </row>
    <row r="196" spans="1:7" x14ac:dyDescent="0.3">
      <c r="A196" t="s">
        <v>368</v>
      </c>
      <c r="B196" t="str" cm="1">
        <f t="array" aca="1" ref="B196" ca="1">INDEX(FirstNames[First Name],RANDBETWEEN(1,30))&amp;" "&amp;INDEX(LastNames[Last Name],RANDBETWEEN(1,20))</f>
        <v>Deepika Das</v>
      </c>
      <c r="C196" t="str">
        <f ca="1">_xlfn.XLOOKUP(LEFT(Customers[[#This Row],[Customer Name]],FIND(" ",Customers[[#This Row],[Customer Name]])-1),FirstNames[First Name],FirstNames[Gender])</f>
        <v>Female</v>
      </c>
      <c r="D196">
        <f t="shared" ca="1" si="2"/>
        <v>25</v>
      </c>
      <c r="E196" t="str" cm="1">
        <f t="array" aca="1" ref="E196" ca="1">INDEX(Cities[City],RANDBETWEEN(1,10))</f>
        <v>Chennai</v>
      </c>
      <c r="F196" t="str">
        <f ca="1">_xlfn.XLOOKUP(Customers[[#This Row],[City]],Cities[City],Cities[State])</f>
        <v>Tamil Nadu</v>
      </c>
      <c r="G196" t="str" cm="1">
        <f t="array" aca="1" ref="G196" ca="1">INDEX(Cities[Customer Type],RANDBETWEEN(1,3))</f>
        <v>VIP</v>
      </c>
    </row>
    <row r="197" spans="1:7" x14ac:dyDescent="0.3">
      <c r="A197" t="s">
        <v>369</v>
      </c>
      <c r="B197" t="str" cm="1">
        <f t="array" aca="1" ref="B197" ca="1">INDEX(FirstNames[First Name],RANDBETWEEN(1,30))&amp;" "&amp;INDEX(LastNames[Last Name],RANDBETWEEN(1,20))</f>
        <v>Surya Kumar</v>
      </c>
      <c r="C197" t="str">
        <f ca="1">_xlfn.XLOOKUP(LEFT(Customers[[#This Row],[Customer Name]],FIND(" ",Customers[[#This Row],[Customer Name]])-1),FirstNames[First Name],FirstNames[Gender])</f>
        <v>Male</v>
      </c>
      <c r="D197">
        <f t="shared" ca="1" si="2"/>
        <v>28</v>
      </c>
      <c r="E197" t="str" cm="1">
        <f t="array" aca="1" ref="E197" ca="1">INDEX(Cities[City],RANDBETWEEN(1,10))</f>
        <v>Ahmedabad</v>
      </c>
      <c r="F197" t="str">
        <f ca="1">_xlfn.XLOOKUP(Customers[[#This Row],[City]],Cities[City],Cities[State])</f>
        <v>Gujarat</v>
      </c>
      <c r="G197" t="str" cm="1">
        <f t="array" aca="1" ref="G197" ca="1">INDEX(Cities[Customer Type],RANDBETWEEN(1,3))</f>
        <v>Regular</v>
      </c>
    </row>
    <row r="198" spans="1:7" x14ac:dyDescent="0.3">
      <c r="A198" t="s">
        <v>370</v>
      </c>
      <c r="B198" t="str" cm="1">
        <f t="array" aca="1" ref="B198" ca="1">INDEX(FirstNames[First Name],RANDBETWEEN(1,30))&amp;" "&amp;INDEX(LastNames[Last Name],RANDBETWEEN(1,20))</f>
        <v>Shreya Kumar</v>
      </c>
      <c r="C198" t="str">
        <f ca="1">_xlfn.XLOOKUP(LEFT(Customers[[#This Row],[Customer Name]],FIND(" ",Customers[[#This Row],[Customer Name]])-1),FirstNames[First Name],FirstNames[Gender])</f>
        <v>Female</v>
      </c>
      <c r="D198">
        <f t="shared" ca="1" si="2"/>
        <v>53</v>
      </c>
      <c r="E198" t="str" cm="1">
        <f t="array" aca="1" ref="E198" ca="1">INDEX(Cities[City],RANDBETWEEN(1,10))</f>
        <v>Ahmedabad</v>
      </c>
      <c r="F198" t="str">
        <f ca="1">_xlfn.XLOOKUP(Customers[[#This Row],[City]],Cities[City],Cities[State])</f>
        <v>Gujarat</v>
      </c>
      <c r="G198" t="str" cm="1">
        <f t="array" aca="1" ref="G198" ca="1">INDEX(Cities[Customer Type],RANDBETWEEN(1,3))</f>
        <v>Premium</v>
      </c>
    </row>
    <row r="199" spans="1:7" x14ac:dyDescent="0.3">
      <c r="A199" t="s">
        <v>371</v>
      </c>
      <c r="B199" t="str" cm="1">
        <f t="array" aca="1" ref="B199" ca="1">INDEX(FirstNames[First Name],RANDBETWEEN(1,30))&amp;" "&amp;INDEX(LastNames[Last Name],RANDBETWEEN(1,20))</f>
        <v>Sneha Iyer</v>
      </c>
      <c r="C199" t="str">
        <f ca="1">_xlfn.XLOOKUP(LEFT(Customers[[#This Row],[Customer Name]],FIND(" ",Customers[[#This Row],[Customer Name]])-1),FirstNames[First Name],FirstNames[Gender])</f>
        <v>Female</v>
      </c>
      <c r="D199">
        <f t="shared" ca="1" si="2"/>
        <v>56</v>
      </c>
      <c r="E199" t="str" cm="1">
        <f t="array" aca="1" ref="E199" ca="1">INDEX(Cities[City],RANDBETWEEN(1,10))</f>
        <v>Ahmedabad</v>
      </c>
      <c r="F199" t="str">
        <f ca="1">_xlfn.XLOOKUP(Customers[[#This Row],[City]],Cities[City],Cities[State])</f>
        <v>Gujarat</v>
      </c>
      <c r="G199" t="str" cm="1">
        <f t="array" aca="1" ref="G199" ca="1">INDEX(Cities[Customer Type],RANDBETWEEN(1,3))</f>
        <v>Premium</v>
      </c>
    </row>
    <row r="200" spans="1:7" x14ac:dyDescent="0.3">
      <c r="A200" t="s">
        <v>372</v>
      </c>
      <c r="B200" t="str" cm="1">
        <f t="array" aca="1" ref="B200" ca="1">INDEX(FirstNames[First Name],RANDBETWEEN(1,30))&amp;" "&amp;INDEX(LastNames[Last Name],RANDBETWEEN(1,20))</f>
        <v>Abinaya Malhotra</v>
      </c>
      <c r="C200" t="str">
        <f ca="1">_xlfn.XLOOKUP(LEFT(Customers[[#This Row],[Customer Name]],FIND(" ",Customers[[#This Row],[Customer Name]])-1),FirstNames[First Name],FirstNames[Gender])</f>
        <v>Female</v>
      </c>
      <c r="D200">
        <f t="shared" ca="1" si="2"/>
        <v>36</v>
      </c>
      <c r="E200" t="str" cm="1">
        <f t="array" aca="1" ref="E200" ca="1">INDEX(Cities[City],RANDBETWEEN(1,10))</f>
        <v>Ahmedabad</v>
      </c>
      <c r="F200" t="str">
        <f ca="1">_xlfn.XLOOKUP(Customers[[#This Row],[City]],Cities[City],Cities[State])</f>
        <v>Gujarat</v>
      </c>
      <c r="G200" t="str" cm="1">
        <f t="array" aca="1" ref="G200" ca="1">INDEX(Cities[Customer Type],RANDBETWEEN(1,3))</f>
        <v>Premium</v>
      </c>
    </row>
    <row r="201" spans="1:7" x14ac:dyDescent="0.3">
      <c r="A201" t="s">
        <v>373</v>
      </c>
      <c r="B201" t="str" cm="1">
        <f t="array" aca="1" ref="B201" ca="1">INDEX(FirstNames[First Name],RANDBETWEEN(1,30))&amp;" "&amp;INDEX(LastNames[Last Name],RANDBETWEEN(1,20))</f>
        <v>Neha Khan</v>
      </c>
      <c r="C201" t="str">
        <f ca="1">_xlfn.XLOOKUP(LEFT(Customers[[#This Row],[Customer Name]],FIND(" ",Customers[[#This Row],[Customer Name]])-1),FirstNames[First Name],FirstNames[Gender])</f>
        <v>Female</v>
      </c>
      <c r="D201">
        <f t="shared" ca="1" si="2"/>
        <v>57</v>
      </c>
      <c r="E201" t="str" cm="1">
        <f t="array" aca="1" ref="E201" ca="1">INDEX(Cities[City],RANDBETWEEN(1,10))</f>
        <v>Bengaluru</v>
      </c>
      <c r="F201" t="str">
        <f ca="1">_xlfn.XLOOKUP(Customers[[#This Row],[City]],Cities[City],Cities[State])</f>
        <v>Karnataka</v>
      </c>
      <c r="G201" t="str" cm="1">
        <f t="array" aca="1" ref="G201" ca="1">INDEX(Cities[Customer Type],RANDBETWEEN(1,3))</f>
        <v>VIP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311C-6826-4025-8AA7-01B4BA64D5A3}">
  <dimension ref="A1:B31"/>
  <sheetViews>
    <sheetView workbookViewId="0">
      <pane ySplit="1" topLeftCell="A12" activePane="bottomLeft" state="frozen"/>
      <selection pane="bottomLeft" activeCell="H22" sqref="H22"/>
    </sheetView>
  </sheetViews>
  <sheetFormatPr defaultRowHeight="14.4" x14ac:dyDescent="0.3"/>
  <cols>
    <col min="1" max="1" width="13.88671875" customWidth="1"/>
  </cols>
  <sheetData>
    <row r="1" spans="1:2" x14ac:dyDescent="0.3">
      <c r="A1" s="2" t="s">
        <v>425</v>
      </c>
      <c r="B1" s="2" t="s">
        <v>111</v>
      </c>
    </row>
    <row r="2" spans="1:2" x14ac:dyDescent="0.3">
      <c r="A2" s="3" t="s">
        <v>374</v>
      </c>
      <c r="B2" s="3" t="s">
        <v>156</v>
      </c>
    </row>
    <row r="3" spans="1:2" x14ac:dyDescent="0.3">
      <c r="A3" s="3" t="s">
        <v>375</v>
      </c>
      <c r="B3" s="3" t="s">
        <v>156</v>
      </c>
    </row>
    <row r="4" spans="1:2" x14ac:dyDescent="0.3">
      <c r="A4" s="3" t="s">
        <v>376</v>
      </c>
      <c r="B4" s="3" t="s">
        <v>156</v>
      </c>
    </row>
    <row r="5" spans="1:2" x14ac:dyDescent="0.3">
      <c r="A5" s="3" t="s">
        <v>377</v>
      </c>
      <c r="B5" s="3" t="s">
        <v>156</v>
      </c>
    </row>
    <row r="6" spans="1:2" x14ac:dyDescent="0.3">
      <c r="A6" s="3" t="s">
        <v>378</v>
      </c>
      <c r="B6" s="3" t="s">
        <v>156</v>
      </c>
    </row>
    <row r="7" spans="1:2" x14ac:dyDescent="0.3">
      <c r="A7" s="3" t="s">
        <v>379</v>
      </c>
      <c r="B7" s="3" t="s">
        <v>156</v>
      </c>
    </row>
    <row r="8" spans="1:2" x14ac:dyDescent="0.3">
      <c r="A8" s="3" t="s">
        <v>380</v>
      </c>
      <c r="B8" s="3" t="s">
        <v>156</v>
      </c>
    </row>
    <row r="9" spans="1:2" x14ac:dyDescent="0.3">
      <c r="A9" s="3" t="s">
        <v>381</v>
      </c>
      <c r="B9" s="3" t="s">
        <v>156</v>
      </c>
    </row>
    <row r="10" spans="1:2" x14ac:dyDescent="0.3">
      <c r="A10" s="3" t="s">
        <v>382</v>
      </c>
      <c r="B10" s="3" t="s">
        <v>156</v>
      </c>
    </row>
    <row r="11" spans="1:2" x14ac:dyDescent="0.3">
      <c r="A11" s="3" t="s">
        <v>383</v>
      </c>
      <c r="B11" s="3" t="s">
        <v>156</v>
      </c>
    </row>
    <row r="12" spans="1:2" x14ac:dyDescent="0.3">
      <c r="A12" s="3" t="s">
        <v>384</v>
      </c>
      <c r="B12" s="3" t="s">
        <v>157</v>
      </c>
    </row>
    <row r="13" spans="1:2" x14ac:dyDescent="0.3">
      <c r="A13" s="3" t="s">
        <v>385</v>
      </c>
      <c r="B13" s="3" t="s">
        <v>157</v>
      </c>
    </row>
    <row r="14" spans="1:2" x14ac:dyDescent="0.3">
      <c r="A14" s="3" t="s">
        <v>386</v>
      </c>
      <c r="B14" s="3" t="s">
        <v>157</v>
      </c>
    </row>
    <row r="15" spans="1:2" x14ac:dyDescent="0.3">
      <c r="A15" s="3" t="s">
        <v>387</v>
      </c>
      <c r="B15" s="3" t="s">
        <v>157</v>
      </c>
    </row>
    <row r="16" spans="1:2" x14ac:dyDescent="0.3">
      <c r="A16" s="3" t="s">
        <v>388</v>
      </c>
      <c r="B16" s="3" t="s">
        <v>157</v>
      </c>
    </row>
    <row r="17" spans="1:2" x14ac:dyDescent="0.3">
      <c r="A17" s="3" t="s">
        <v>389</v>
      </c>
      <c r="B17" s="3" t="s">
        <v>157</v>
      </c>
    </row>
    <row r="18" spans="1:2" x14ac:dyDescent="0.3">
      <c r="A18" s="3" t="s">
        <v>390</v>
      </c>
      <c r="B18" s="3" t="s">
        <v>157</v>
      </c>
    </row>
    <row r="19" spans="1:2" x14ac:dyDescent="0.3">
      <c r="A19" s="3" t="s">
        <v>391</v>
      </c>
      <c r="B19" s="3" t="s">
        <v>157</v>
      </c>
    </row>
    <row r="20" spans="1:2" x14ac:dyDescent="0.3">
      <c r="A20" s="3" t="s">
        <v>392</v>
      </c>
      <c r="B20" s="3" t="s">
        <v>157</v>
      </c>
    </row>
    <row r="21" spans="1:2" x14ac:dyDescent="0.3">
      <c r="A21" s="3" t="s">
        <v>393</v>
      </c>
      <c r="B21" s="3" t="s">
        <v>157</v>
      </c>
    </row>
    <row r="22" spans="1:2" x14ac:dyDescent="0.3">
      <c r="A22" s="3" t="s">
        <v>394</v>
      </c>
      <c r="B22" s="3" t="s">
        <v>157</v>
      </c>
    </row>
    <row r="23" spans="1:2" x14ac:dyDescent="0.3">
      <c r="A23" s="3" t="s">
        <v>395</v>
      </c>
      <c r="B23" s="3" t="s">
        <v>157</v>
      </c>
    </row>
    <row r="24" spans="1:2" x14ac:dyDescent="0.3">
      <c r="A24" s="3" t="s">
        <v>396</v>
      </c>
      <c r="B24" s="3" t="s">
        <v>157</v>
      </c>
    </row>
    <row r="25" spans="1:2" x14ac:dyDescent="0.3">
      <c r="A25" s="3" t="s">
        <v>397</v>
      </c>
      <c r="B25" s="3" t="s">
        <v>157</v>
      </c>
    </row>
    <row r="26" spans="1:2" x14ac:dyDescent="0.3">
      <c r="A26" s="3" t="s">
        <v>398</v>
      </c>
      <c r="B26" s="3" t="s">
        <v>157</v>
      </c>
    </row>
    <row r="27" spans="1:2" x14ac:dyDescent="0.3">
      <c r="A27" s="3" t="s">
        <v>399</v>
      </c>
      <c r="B27" s="3" t="s">
        <v>157</v>
      </c>
    </row>
    <row r="28" spans="1:2" x14ac:dyDescent="0.3">
      <c r="A28" s="3" t="s">
        <v>400</v>
      </c>
      <c r="B28" s="3" t="s">
        <v>157</v>
      </c>
    </row>
    <row r="29" spans="1:2" x14ac:dyDescent="0.3">
      <c r="A29" s="3" t="s">
        <v>401</v>
      </c>
      <c r="B29" s="3" t="s">
        <v>156</v>
      </c>
    </row>
    <row r="30" spans="1:2" x14ac:dyDescent="0.3">
      <c r="A30" s="3" t="s">
        <v>402</v>
      </c>
      <c r="B30" s="3" t="s">
        <v>156</v>
      </c>
    </row>
    <row r="31" spans="1:2" x14ac:dyDescent="0.3">
      <c r="A31" s="3" t="s">
        <v>403</v>
      </c>
      <c r="B31" s="3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E874-5A65-4B61-B4A4-158AAF4173C1}">
  <dimension ref="A1:A21"/>
  <sheetViews>
    <sheetView workbookViewId="0">
      <selection sqref="A1:A21"/>
    </sheetView>
  </sheetViews>
  <sheetFormatPr defaultRowHeight="14.4" x14ac:dyDescent="0.3"/>
  <cols>
    <col min="1" max="1" width="11.77734375" customWidth="1"/>
  </cols>
  <sheetData>
    <row r="1" spans="1:1" ht="28.8" x14ac:dyDescent="0.3">
      <c r="A1" s="2" t="s">
        <v>404</v>
      </c>
    </row>
    <row r="2" spans="1:1" x14ac:dyDescent="0.3">
      <c r="A2" s="3" t="s">
        <v>405</v>
      </c>
    </row>
    <row r="3" spans="1:1" x14ac:dyDescent="0.3">
      <c r="A3" s="3" t="s">
        <v>406</v>
      </c>
    </row>
    <row r="4" spans="1:1" x14ac:dyDescent="0.3">
      <c r="A4" s="3" t="s">
        <v>407</v>
      </c>
    </row>
    <row r="5" spans="1:1" x14ac:dyDescent="0.3">
      <c r="A5" s="3" t="s">
        <v>408</v>
      </c>
    </row>
    <row r="6" spans="1:1" x14ac:dyDescent="0.3">
      <c r="A6" s="3" t="s">
        <v>409</v>
      </c>
    </row>
    <row r="7" spans="1:1" x14ac:dyDescent="0.3">
      <c r="A7" s="3" t="s">
        <v>410</v>
      </c>
    </row>
    <row r="8" spans="1:1" x14ac:dyDescent="0.3">
      <c r="A8" s="3" t="s">
        <v>411</v>
      </c>
    </row>
    <row r="9" spans="1:1" x14ac:dyDescent="0.3">
      <c r="A9" s="3" t="s">
        <v>412</v>
      </c>
    </row>
    <row r="10" spans="1:1" x14ac:dyDescent="0.3">
      <c r="A10" s="3" t="s">
        <v>413</v>
      </c>
    </row>
    <row r="11" spans="1:1" x14ac:dyDescent="0.3">
      <c r="A11" s="3" t="s">
        <v>414</v>
      </c>
    </row>
    <row r="12" spans="1:1" x14ac:dyDescent="0.3">
      <c r="A12" s="3" t="s">
        <v>415</v>
      </c>
    </row>
    <row r="13" spans="1:1" x14ac:dyDescent="0.3">
      <c r="A13" s="3" t="s">
        <v>416</v>
      </c>
    </row>
    <row r="14" spans="1:1" x14ac:dyDescent="0.3">
      <c r="A14" s="3" t="s">
        <v>417</v>
      </c>
    </row>
    <row r="15" spans="1:1" x14ac:dyDescent="0.3">
      <c r="A15" s="3" t="s">
        <v>418</v>
      </c>
    </row>
    <row r="16" spans="1:1" x14ac:dyDescent="0.3">
      <c r="A16" s="3" t="s">
        <v>419</v>
      </c>
    </row>
    <row r="17" spans="1:1" x14ac:dyDescent="0.3">
      <c r="A17" s="3" t="s">
        <v>420</v>
      </c>
    </row>
    <row r="18" spans="1:1" x14ac:dyDescent="0.3">
      <c r="A18" s="3" t="s">
        <v>421</v>
      </c>
    </row>
    <row r="19" spans="1:1" x14ac:dyDescent="0.3">
      <c r="A19" s="3" t="s">
        <v>422</v>
      </c>
    </row>
    <row r="20" spans="1:1" x14ac:dyDescent="0.3">
      <c r="A20" s="3" t="s">
        <v>423</v>
      </c>
    </row>
    <row r="21" spans="1:1" x14ac:dyDescent="0.3">
      <c r="A21" s="3" t="s">
        <v>424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F031-D6EB-4792-8892-30745F0DFEB7}">
  <dimension ref="A1:C11"/>
  <sheetViews>
    <sheetView workbookViewId="0">
      <selection activeCell="C18" sqref="C18"/>
    </sheetView>
  </sheetViews>
  <sheetFormatPr defaultRowHeight="14.4" x14ac:dyDescent="0.3"/>
  <cols>
    <col min="1" max="1" width="14.109375" customWidth="1"/>
    <col min="2" max="2" width="15.88671875" customWidth="1"/>
    <col min="3" max="3" width="17.6640625" customWidth="1"/>
  </cols>
  <sheetData>
    <row r="1" spans="1:3" ht="28.8" x14ac:dyDescent="0.3">
      <c r="A1" s="2" t="s">
        <v>113</v>
      </c>
      <c r="B1" s="2" t="s">
        <v>114</v>
      </c>
      <c r="C1" s="2" t="s">
        <v>115</v>
      </c>
    </row>
    <row r="2" spans="1:3" x14ac:dyDescent="0.3">
      <c r="A2" s="3" t="s">
        <v>159</v>
      </c>
      <c r="B2" s="3" t="s">
        <v>179</v>
      </c>
      <c r="C2" s="3" t="s">
        <v>192</v>
      </c>
    </row>
    <row r="3" spans="1:3" x14ac:dyDescent="0.3">
      <c r="A3" s="3" t="s">
        <v>160</v>
      </c>
      <c r="B3" s="3" t="s">
        <v>180</v>
      </c>
      <c r="C3" s="3" t="s">
        <v>191</v>
      </c>
    </row>
    <row r="4" spans="1:3" x14ac:dyDescent="0.3">
      <c r="A4" s="3" t="s">
        <v>161</v>
      </c>
      <c r="B4" s="3" t="s">
        <v>181</v>
      </c>
      <c r="C4" s="3" t="s">
        <v>193</v>
      </c>
    </row>
    <row r="5" spans="1:3" x14ac:dyDescent="0.3">
      <c r="A5" s="3" t="s">
        <v>158</v>
      </c>
      <c r="B5" s="3" t="s">
        <v>178</v>
      </c>
      <c r="C5" s="3"/>
    </row>
    <row r="6" spans="1:3" x14ac:dyDescent="0.3">
      <c r="A6" s="3" t="s">
        <v>166</v>
      </c>
      <c r="B6" s="3" t="s">
        <v>178</v>
      </c>
      <c r="C6" s="3"/>
    </row>
    <row r="7" spans="1:3" x14ac:dyDescent="0.3">
      <c r="A7" s="3" t="s">
        <v>163</v>
      </c>
      <c r="B7" s="3" t="s">
        <v>183</v>
      </c>
      <c r="C7" s="3"/>
    </row>
    <row r="8" spans="1:3" x14ac:dyDescent="0.3">
      <c r="A8" s="3" t="s">
        <v>162</v>
      </c>
      <c r="B8" s="3" t="s">
        <v>182</v>
      </c>
      <c r="C8" s="3"/>
    </row>
    <row r="9" spans="1:3" x14ac:dyDescent="0.3">
      <c r="A9" s="3" t="s">
        <v>165</v>
      </c>
      <c r="B9" s="3" t="s">
        <v>185</v>
      </c>
      <c r="C9" s="3"/>
    </row>
    <row r="10" spans="1:3" x14ac:dyDescent="0.3">
      <c r="A10" s="3" t="s">
        <v>164</v>
      </c>
      <c r="B10" s="3" t="s">
        <v>184</v>
      </c>
      <c r="C10" s="3"/>
    </row>
    <row r="11" spans="1:3" x14ac:dyDescent="0.3">
      <c r="A11" s="3" t="s">
        <v>168</v>
      </c>
      <c r="B11" s="3" t="s">
        <v>186</v>
      </c>
      <c r="C11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5B5A-BB59-434E-A83E-8E8D7E9B49FE}">
  <dimension ref="A1:D16"/>
  <sheetViews>
    <sheetView workbookViewId="0">
      <selection activeCell="E18" sqref="E18"/>
    </sheetView>
  </sheetViews>
  <sheetFormatPr defaultRowHeight="14.4" x14ac:dyDescent="0.3"/>
  <cols>
    <col min="1" max="1" width="12.109375" customWidth="1"/>
    <col min="2" max="2" width="15.33203125" customWidth="1"/>
    <col min="3" max="3" width="12.5546875" customWidth="1"/>
    <col min="4" max="4" width="17" customWidth="1"/>
  </cols>
  <sheetData>
    <row r="1" spans="1:4" x14ac:dyDescent="0.3">
      <c r="A1" t="s">
        <v>426</v>
      </c>
      <c r="B1" t="s">
        <v>427</v>
      </c>
      <c r="C1" t="s">
        <v>113</v>
      </c>
      <c r="D1" t="s">
        <v>114</v>
      </c>
    </row>
    <row r="2" spans="1:4" x14ac:dyDescent="0.3">
      <c r="A2" t="str">
        <f>"S"&amp;TEXT(ROW()-1,"000")</f>
        <v>S001</v>
      </c>
      <c r="B2" t="s">
        <v>428</v>
      </c>
      <c r="C2" t="str" cm="1">
        <f t="array" aca="1" ref="C2" ca="1">INDEX(Cities[City],RANDBETWEEN(1,10))</f>
        <v>Lucknow</v>
      </c>
      <c r="D2" t="str">
        <f ca="1">_xlfn.XLOOKUP(Suppliers[[#This Row],[City]],Cities[City],Cities[State])</f>
        <v>Uttar Pradesh</v>
      </c>
    </row>
    <row r="3" spans="1:4" x14ac:dyDescent="0.3">
      <c r="A3" t="str">
        <f t="shared" ref="A3:A16" si="0">"S"&amp;TEXT(ROW()-1,"000")</f>
        <v>S002</v>
      </c>
      <c r="B3" t="s">
        <v>429</v>
      </c>
      <c r="C3" t="str" cm="1">
        <f t="array" aca="1" ref="C3" ca="1">INDEX(Cities[City],RANDBETWEEN(1,10))</f>
        <v>Pune</v>
      </c>
      <c r="D3" t="str">
        <f ca="1">_xlfn.XLOOKUP(Suppliers[[#This Row],[City]],Cities[City],Cities[State])</f>
        <v>Maharashtra</v>
      </c>
    </row>
    <row r="4" spans="1:4" x14ac:dyDescent="0.3">
      <c r="A4" t="str">
        <f t="shared" si="0"/>
        <v>S003</v>
      </c>
      <c r="B4" t="s">
        <v>430</v>
      </c>
      <c r="C4" t="str" cm="1">
        <f t="array" aca="1" ref="C4" ca="1">INDEX(Cities[City],RANDBETWEEN(1,10))</f>
        <v>Kochi</v>
      </c>
      <c r="D4" t="str">
        <f ca="1">_xlfn.XLOOKUP(Suppliers[[#This Row],[City]],Cities[City],Cities[State])</f>
        <v>Kerala</v>
      </c>
    </row>
    <row r="5" spans="1:4" x14ac:dyDescent="0.3">
      <c r="A5" t="str">
        <f t="shared" si="0"/>
        <v>S004</v>
      </c>
      <c r="B5" t="s">
        <v>431</v>
      </c>
      <c r="C5" t="str" cm="1">
        <f t="array" aca="1" ref="C5" ca="1">INDEX(Cities[City],RANDBETWEEN(1,10))</f>
        <v>Kochi</v>
      </c>
      <c r="D5" t="str">
        <f ca="1">_xlfn.XLOOKUP(Suppliers[[#This Row],[City]],Cities[City],Cities[State])</f>
        <v>Kerala</v>
      </c>
    </row>
    <row r="6" spans="1:4" x14ac:dyDescent="0.3">
      <c r="A6" t="str">
        <f t="shared" si="0"/>
        <v>S005</v>
      </c>
      <c r="B6" t="s">
        <v>432</v>
      </c>
      <c r="C6" t="str" cm="1">
        <f t="array" aca="1" ref="C6" ca="1">INDEX(Cities[City],RANDBETWEEN(1,10))</f>
        <v>Kochi</v>
      </c>
      <c r="D6" t="str">
        <f ca="1">_xlfn.XLOOKUP(Suppliers[[#This Row],[City]],Cities[City],Cities[State])</f>
        <v>Kerala</v>
      </c>
    </row>
    <row r="7" spans="1:4" x14ac:dyDescent="0.3">
      <c r="A7" t="str">
        <f t="shared" si="0"/>
        <v>S006</v>
      </c>
      <c r="B7" t="s">
        <v>433</v>
      </c>
      <c r="C7" t="str" cm="1">
        <f t="array" aca="1" ref="C7" ca="1">INDEX(Cities[City],RANDBETWEEN(1,10))</f>
        <v>Kolkata</v>
      </c>
      <c r="D7" t="str">
        <f ca="1">_xlfn.XLOOKUP(Suppliers[[#This Row],[City]],Cities[City],Cities[State])</f>
        <v>West Bengal</v>
      </c>
    </row>
    <row r="8" spans="1:4" x14ac:dyDescent="0.3">
      <c r="A8" t="str">
        <f t="shared" si="0"/>
        <v>S007</v>
      </c>
      <c r="B8" t="s">
        <v>434</v>
      </c>
      <c r="C8" t="str" cm="1">
        <f t="array" aca="1" ref="C8" ca="1">INDEX(Cities[City],RANDBETWEEN(1,10))</f>
        <v>Bengaluru</v>
      </c>
      <c r="D8" t="str">
        <f ca="1">_xlfn.XLOOKUP(Suppliers[[#This Row],[City]],Cities[City],Cities[State])</f>
        <v>Karnataka</v>
      </c>
    </row>
    <row r="9" spans="1:4" x14ac:dyDescent="0.3">
      <c r="A9" t="str">
        <f t="shared" si="0"/>
        <v>S008</v>
      </c>
      <c r="B9" t="s">
        <v>435</v>
      </c>
      <c r="C9" t="str" cm="1">
        <f t="array" aca="1" ref="C9" ca="1">INDEX(Cities[City],RANDBETWEEN(1,10))</f>
        <v>Lucknow</v>
      </c>
      <c r="D9" t="str">
        <f ca="1">_xlfn.XLOOKUP(Suppliers[[#This Row],[City]],Cities[City],Cities[State])</f>
        <v>Uttar Pradesh</v>
      </c>
    </row>
    <row r="10" spans="1:4" x14ac:dyDescent="0.3">
      <c r="A10" t="str">
        <f t="shared" si="0"/>
        <v>S009</v>
      </c>
      <c r="B10" t="s">
        <v>436</v>
      </c>
      <c r="C10" t="str" cm="1">
        <f t="array" aca="1" ref="C10" ca="1">INDEX(Cities[City],RANDBETWEEN(1,10))</f>
        <v>Kochi</v>
      </c>
      <c r="D10" t="str">
        <f ca="1">_xlfn.XLOOKUP(Suppliers[[#This Row],[City]],Cities[City],Cities[State])</f>
        <v>Kerala</v>
      </c>
    </row>
    <row r="11" spans="1:4" x14ac:dyDescent="0.3">
      <c r="A11" t="str">
        <f t="shared" si="0"/>
        <v>S010</v>
      </c>
      <c r="B11" t="s">
        <v>437</v>
      </c>
      <c r="C11" t="str" cm="1">
        <f t="array" aca="1" ref="C11" ca="1">INDEX(Cities[City],RANDBETWEEN(1,10))</f>
        <v>Lucknow</v>
      </c>
      <c r="D11" t="str">
        <f ca="1">_xlfn.XLOOKUP(Suppliers[[#This Row],[City]],Cities[City],Cities[State])</f>
        <v>Uttar Pradesh</v>
      </c>
    </row>
    <row r="12" spans="1:4" x14ac:dyDescent="0.3">
      <c r="A12" t="str">
        <f t="shared" si="0"/>
        <v>S011</v>
      </c>
      <c r="B12" t="s">
        <v>438</v>
      </c>
      <c r="C12" t="str" cm="1">
        <f t="array" aca="1" ref="C12" ca="1">INDEX(Cities[City],RANDBETWEEN(1,10))</f>
        <v>Mumbai</v>
      </c>
      <c r="D12" t="str">
        <f ca="1">_xlfn.XLOOKUP(Suppliers[[#This Row],[City]],Cities[City],Cities[State])</f>
        <v>Maharashtra</v>
      </c>
    </row>
    <row r="13" spans="1:4" x14ac:dyDescent="0.3">
      <c r="A13" t="str">
        <f t="shared" si="0"/>
        <v>S012</v>
      </c>
      <c r="B13" t="s">
        <v>439</v>
      </c>
      <c r="C13" t="str" cm="1">
        <f t="array" aca="1" ref="C13" ca="1">INDEX(Cities[City],RANDBETWEEN(1,10))</f>
        <v>Chennai</v>
      </c>
      <c r="D13" t="str">
        <f ca="1">_xlfn.XLOOKUP(Suppliers[[#This Row],[City]],Cities[City],Cities[State])</f>
        <v>Tamil Nadu</v>
      </c>
    </row>
    <row r="14" spans="1:4" x14ac:dyDescent="0.3">
      <c r="A14" t="str">
        <f t="shared" si="0"/>
        <v>S013</v>
      </c>
      <c r="B14" t="s">
        <v>440</v>
      </c>
      <c r="C14" t="str" cm="1">
        <f t="array" aca="1" ref="C14" ca="1">INDEX(Cities[City],RANDBETWEEN(1,10))</f>
        <v>Lucknow</v>
      </c>
      <c r="D14" t="str">
        <f ca="1">_xlfn.XLOOKUP(Suppliers[[#This Row],[City]],Cities[City],Cities[State])</f>
        <v>Uttar Pradesh</v>
      </c>
    </row>
    <row r="15" spans="1:4" x14ac:dyDescent="0.3">
      <c r="A15" t="str">
        <f t="shared" si="0"/>
        <v>S014</v>
      </c>
      <c r="B15" t="s">
        <v>441</v>
      </c>
      <c r="C15" t="str" cm="1">
        <f t="array" aca="1" ref="C15" ca="1">INDEX(Cities[City],RANDBETWEEN(1,10))</f>
        <v>Mumbai</v>
      </c>
      <c r="D15" t="str">
        <f ca="1">_xlfn.XLOOKUP(Suppliers[[#This Row],[City]],Cities[City],Cities[State])</f>
        <v>Maharashtra</v>
      </c>
    </row>
    <row r="16" spans="1:4" x14ac:dyDescent="0.3">
      <c r="A16" t="str">
        <f t="shared" si="0"/>
        <v>S015</v>
      </c>
      <c r="B16" t="s">
        <v>442</v>
      </c>
      <c r="C16" t="str" cm="1">
        <f t="array" aca="1" ref="C16" ca="1">INDEX(Cities[City],RANDBETWEEN(1,10))</f>
        <v>Hyderabad</v>
      </c>
      <c r="D16" t="str">
        <f ca="1">_xlfn.XLOOKUP(Suppliers[[#This Row],[City]],Cities[City],Cities[State])</f>
        <v>Telangana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B661-DBB1-4B02-9C45-67317F436D17}">
  <dimension ref="A1:E9"/>
  <sheetViews>
    <sheetView topLeftCell="B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6.33203125" customWidth="1"/>
    <col min="2" max="2" width="21.88671875" customWidth="1"/>
    <col min="3" max="3" width="12.109375" customWidth="1"/>
    <col min="4" max="4" width="16.21875" customWidth="1"/>
    <col min="5" max="5" width="13.77734375" customWidth="1"/>
  </cols>
  <sheetData>
    <row r="1" spans="1:5" x14ac:dyDescent="0.3">
      <c r="A1" t="s">
        <v>443</v>
      </c>
      <c r="B1" t="s">
        <v>444</v>
      </c>
      <c r="C1" t="s">
        <v>113</v>
      </c>
      <c r="D1" t="s">
        <v>114</v>
      </c>
      <c r="E1" t="s">
        <v>445</v>
      </c>
    </row>
    <row r="2" spans="1:5" x14ac:dyDescent="0.3">
      <c r="A2" t="str">
        <f>"W"&amp;TEXT(ROW()-1,"000")</f>
        <v>W001</v>
      </c>
      <c r="B2" t="s">
        <v>446</v>
      </c>
      <c r="C2" t="s">
        <v>159</v>
      </c>
      <c r="D2" t="str">
        <f>_xlfn.XLOOKUP(Warehouses[[#This Row],[City]],Cities[City],Cities[State])</f>
        <v>Tamil Nadu</v>
      </c>
      <c r="E2">
        <f t="shared" ref="E2:E9" ca="1" si="0">RANDBETWEEN(500,2000)</f>
        <v>1745</v>
      </c>
    </row>
    <row r="3" spans="1:5" x14ac:dyDescent="0.3">
      <c r="A3" t="str">
        <f t="shared" ref="A3:A9" si="1">"W"&amp;TEXT(ROW()-1,"000")</f>
        <v>W002</v>
      </c>
      <c r="B3" t="s">
        <v>447</v>
      </c>
      <c r="C3" t="s">
        <v>160</v>
      </c>
      <c r="D3" t="str">
        <f>_xlfn.XLOOKUP(Warehouses[[#This Row],[City]],Cities[City],Cities[State])</f>
        <v>Karnataka</v>
      </c>
      <c r="E3">
        <f t="shared" ca="1" si="0"/>
        <v>676</v>
      </c>
    </row>
    <row r="4" spans="1:5" x14ac:dyDescent="0.3">
      <c r="A4" t="str">
        <f t="shared" si="1"/>
        <v>W003</v>
      </c>
      <c r="B4" t="s">
        <v>448</v>
      </c>
      <c r="C4" t="s">
        <v>161</v>
      </c>
      <c r="D4" t="str">
        <f>_xlfn.XLOOKUP(Warehouses[[#This Row],[City]],Cities[City],Cities[State])</f>
        <v>Telangana</v>
      </c>
      <c r="E4">
        <f t="shared" ca="1" si="0"/>
        <v>769</v>
      </c>
    </row>
    <row r="5" spans="1:5" x14ac:dyDescent="0.3">
      <c r="A5" t="str">
        <f t="shared" si="1"/>
        <v>W004</v>
      </c>
      <c r="B5" t="s">
        <v>449</v>
      </c>
      <c r="C5" t="s">
        <v>158</v>
      </c>
      <c r="D5" t="str">
        <f>_xlfn.XLOOKUP(Warehouses[[#This Row],[City]],Cities[City],Cities[State])</f>
        <v>Maharashtra</v>
      </c>
      <c r="E5">
        <f t="shared" ca="1" si="0"/>
        <v>1653</v>
      </c>
    </row>
    <row r="6" spans="1:5" x14ac:dyDescent="0.3">
      <c r="A6" t="str">
        <f t="shared" si="1"/>
        <v>W005</v>
      </c>
      <c r="B6" t="s">
        <v>450</v>
      </c>
      <c r="C6" t="s">
        <v>166</v>
      </c>
      <c r="D6" t="str">
        <f>_xlfn.XLOOKUP(Warehouses[[#This Row],[City]],Cities[City],Cities[State])</f>
        <v>Maharashtra</v>
      </c>
      <c r="E6">
        <f t="shared" ca="1" si="0"/>
        <v>753</v>
      </c>
    </row>
    <row r="7" spans="1:5" x14ac:dyDescent="0.3">
      <c r="A7" t="str">
        <f t="shared" si="1"/>
        <v>W006</v>
      </c>
      <c r="B7" t="s">
        <v>451</v>
      </c>
      <c r="C7" t="s">
        <v>163</v>
      </c>
      <c r="D7" t="str">
        <f>_xlfn.XLOOKUP(Warehouses[[#This Row],[City]],Cities[City],Cities[State])</f>
        <v>Kerala</v>
      </c>
      <c r="E7">
        <f t="shared" ca="1" si="0"/>
        <v>1495</v>
      </c>
    </row>
    <row r="8" spans="1:5" x14ac:dyDescent="0.3">
      <c r="A8" t="str">
        <f t="shared" si="1"/>
        <v>W007</v>
      </c>
      <c r="B8" t="s">
        <v>452</v>
      </c>
      <c r="C8" t="s">
        <v>162</v>
      </c>
      <c r="D8" t="str">
        <f>_xlfn.XLOOKUP(Warehouses[[#This Row],[City]],Cities[City],Cities[State])</f>
        <v>Gujarat</v>
      </c>
      <c r="E8">
        <f t="shared" ca="1" si="0"/>
        <v>995</v>
      </c>
    </row>
    <row r="9" spans="1:5" x14ac:dyDescent="0.3">
      <c r="A9" t="str">
        <f t="shared" si="1"/>
        <v>W008</v>
      </c>
      <c r="B9" t="s">
        <v>453</v>
      </c>
      <c r="C9" t="s">
        <v>165</v>
      </c>
      <c r="D9" t="str">
        <f>_xlfn.XLOOKUP(Warehouses[[#This Row],[City]],Cities[City],Cities[State])</f>
        <v>West Bengal</v>
      </c>
      <c r="E9">
        <f t="shared" ca="1" si="0"/>
        <v>1532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BF15-0FF5-4520-ACC5-D1A09CDAF9AC}">
  <dimension ref="A1:M1001"/>
  <sheetViews>
    <sheetView tabSelected="1" topLeftCell="G1" zoomScaleNormal="100" workbookViewId="0">
      <selection activeCell="K9" sqref="K9"/>
    </sheetView>
  </sheetViews>
  <sheetFormatPr defaultRowHeight="14.4" x14ac:dyDescent="0.3"/>
  <cols>
    <col min="1" max="1" width="15.109375" customWidth="1"/>
    <col min="2" max="2" width="18.88671875" customWidth="1"/>
    <col min="3" max="3" width="18.109375" customWidth="1"/>
    <col min="4" max="4" width="14.33203125" customWidth="1"/>
    <col min="5" max="5" width="20.6640625" customWidth="1"/>
    <col min="6" max="6" width="12.33203125" customWidth="1"/>
    <col min="7" max="7" width="15.44140625" customWidth="1"/>
    <col min="8" max="8" width="12.77734375" style="6" customWidth="1"/>
    <col min="9" max="9" width="17.33203125" customWidth="1"/>
    <col min="10" max="10" width="19.33203125" customWidth="1"/>
  </cols>
  <sheetData>
    <row r="1" spans="1:13" x14ac:dyDescent="0.3">
      <c r="A1" t="s">
        <v>454</v>
      </c>
      <c r="B1" s="4" t="s">
        <v>455</v>
      </c>
      <c r="C1" t="s">
        <v>456</v>
      </c>
      <c r="D1" t="s">
        <v>0</v>
      </c>
      <c r="E1" t="s">
        <v>443</v>
      </c>
      <c r="F1" t="s">
        <v>461</v>
      </c>
      <c r="G1" t="s">
        <v>457</v>
      </c>
      <c r="H1" s="6" t="s">
        <v>458</v>
      </c>
      <c r="I1" t="s">
        <v>459</v>
      </c>
      <c r="J1" t="s">
        <v>460</v>
      </c>
    </row>
    <row r="2" spans="1:13" x14ac:dyDescent="0.3">
      <c r="A2" t="str">
        <f>"O"&amp;TEXT(ROW()-1,"0000")</f>
        <v>O0001</v>
      </c>
      <c r="B2" s="6">
        <f ca="1">Orders[[#This Row],[Discount%]]</f>
        <v>0.06</v>
      </c>
      <c r="C2" t="str" cm="1">
        <f t="array" aca="1" ref="C2" ca="1">INDEX(Customers[Customer ID],RANDBETWEEN(1,200))</f>
        <v>C146</v>
      </c>
      <c r="D2" t="str" cm="1">
        <f t="array" aca="1" ref="D2" ca="1">INDEX(Products[Product ID],RANDBETWEEN(1,50))</f>
        <v>P014</v>
      </c>
      <c r="E2" t="str" cm="1">
        <f t="array" aca="1" ref="E2" ca="1">INDEX(Warehouses[Warehouse ID],RANDBETWEEN(1,8))</f>
        <v>W008</v>
      </c>
      <c r="F2">
        <f t="shared" ref="F2:F65" ca="1" si="0">RANDBETWEEN(1,10)</f>
        <v>5</v>
      </c>
      <c r="G2">
        <f ca="1">_xlfn.XLOOKUP(Orders[[#This Row],[Product ID]],Products[Product ID],Products[Selling Price])</f>
        <v>800</v>
      </c>
      <c r="H2" s="6">
        <f ca="1">RANDBETWEEN(0,20)/100</f>
        <v>0.06</v>
      </c>
      <c r="I2">
        <f ca="1">Orders[[#This Row],[Quantity]]*Orders[[#This Row],[Unit Price]]*(1-Orders[[#This Row],[Discount%]])</f>
        <v>3760</v>
      </c>
      <c r="J2" t="str" cm="1">
        <f t="array" aca="1" ref="J2" ca="1">INDEX(PaymentMethods[Payment Method],RANDBETWEEN(1,5))</f>
        <v>Credit Card</v>
      </c>
    </row>
    <row r="3" spans="1:13" x14ac:dyDescent="0.3">
      <c r="A3" t="str">
        <f t="shared" ref="A3:A66" si="1">"O"&amp;TEXT(ROW()-1,"0000")</f>
        <v>O0002</v>
      </c>
      <c r="B3" s="6">
        <f ca="1">Orders[[#This Row],[Discount%]]</f>
        <v>0.01</v>
      </c>
      <c r="C3" t="str" cm="1">
        <f t="array" aca="1" ref="C3" ca="1">INDEX(Customers[Customer ID],RANDBETWEEN(1,200))</f>
        <v>C147</v>
      </c>
      <c r="D3" t="str" cm="1">
        <f t="array" aca="1" ref="D3" ca="1">INDEX(Products[Product ID],RANDBETWEEN(1,50))</f>
        <v>P031</v>
      </c>
      <c r="E3" t="str" cm="1">
        <f t="array" aca="1" ref="E3" ca="1">INDEX(Warehouses[Warehouse ID],RANDBETWEEN(1,8))</f>
        <v>W003</v>
      </c>
      <c r="F3">
        <f t="shared" ca="1" si="0"/>
        <v>1</v>
      </c>
      <c r="G3">
        <f ca="1">_xlfn.XLOOKUP(Orders[[#This Row],[Product ID]],Products[Product ID],Products[Selling Price])</f>
        <v>90</v>
      </c>
      <c r="H3" s="6">
        <f t="shared" ref="H2:H65" ca="1" si="2">RANDBETWEEN(0,20)/100</f>
        <v>0.01</v>
      </c>
      <c r="I3">
        <f ca="1">Orders[[#This Row],[Quantity]]*Orders[[#This Row],[Unit Price]]*(1-Orders[[#This Row],[Discount%]])</f>
        <v>89.1</v>
      </c>
      <c r="J3" t="str" cm="1">
        <f t="array" aca="1" ref="J3" ca="1">INDEX(PaymentMethods[Payment Method],RANDBETWEEN(1,5))</f>
        <v>Net Banking</v>
      </c>
    </row>
    <row r="4" spans="1:13" x14ac:dyDescent="0.3">
      <c r="A4" t="str">
        <f t="shared" si="1"/>
        <v>O0003</v>
      </c>
      <c r="B4" s="6">
        <f ca="1">Orders[[#This Row],[Discount%]]</f>
        <v>0.19</v>
      </c>
      <c r="C4" t="str" cm="1">
        <f t="array" aca="1" ref="C4" ca="1">INDEX(Customers[Customer ID],RANDBETWEEN(1,200))</f>
        <v>C030</v>
      </c>
      <c r="D4" t="str" cm="1">
        <f t="array" aca="1" ref="D4" ca="1">INDEX(Products[Product ID],RANDBETWEEN(1,50))</f>
        <v>P039</v>
      </c>
      <c r="E4" t="str" cm="1">
        <f t="array" aca="1" ref="E4" ca="1">INDEX(Warehouses[Warehouse ID],RANDBETWEEN(1,8))</f>
        <v>W006</v>
      </c>
      <c r="F4">
        <f t="shared" ca="1" si="0"/>
        <v>3</v>
      </c>
      <c r="G4">
        <f ca="1">_xlfn.XLOOKUP(Orders[[#This Row],[Product ID]],Products[Product ID],Products[Selling Price])</f>
        <v>250</v>
      </c>
      <c r="H4" s="6">
        <f t="shared" ca="1" si="2"/>
        <v>0.19</v>
      </c>
      <c r="I4">
        <f ca="1">Orders[[#This Row],[Quantity]]*Orders[[#This Row],[Unit Price]]*(1-Orders[[#This Row],[Discount%]])</f>
        <v>607.5</v>
      </c>
      <c r="J4" t="str" cm="1">
        <f t="array" aca="1" ref="J4" ca="1">INDEX(PaymentMethods[Payment Method],RANDBETWEEN(1,5))</f>
        <v>Net Banking</v>
      </c>
    </row>
    <row r="5" spans="1:13" x14ac:dyDescent="0.3">
      <c r="A5" t="str">
        <f t="shared" si="1"/>
        <v>O0004</v>
      </c>
      <c r="B5" s="6">
        <f ca="1">Orders[[#This Row],[Discount%]]</f>
        <v>0.08</v>
      </c>
      <c r="C5" t="str" cm="1">
        <f t="array" aca="1" ref="C5" ca="1">INDEX(Customers[Customer ID],RANDBETWEEN(1,200))</f>
        <v>C151</v>
      </c>
      <c r="D5" t="str" cm="1">
        <f t="array" aca="1" ref="D5" ca="1">INDEX(Products[Product ID],RANDBETWEEN(1,50))</f>
        <v>P042</v>
      </c>
      <c r="E5" t="str" cm="1">
        <f t="array" aca="1" ref="E5" ca="1">INDEX(Warehouses[Warehouse ID],RANDBETWEEN(1,8))</f>
        <v>W005</v>
      </c>
      <c r="F5">
        <f t="shared" ca="1" si="0"/>
        <v>9</v>
      </c>
      <c r="G5">
        <f ca="1">_xlfn.XLOOKUP(Orders[[#This Row],[Product ID]],Products[Product ID],Products[Selling Price])</f>
        <v>29000</v>
      </c>
      <c r="H5" s="6">
        <f t="shared" ca="1" si="2"/>
        <v>0.08</v>
      </c>
      <c r="I5">
        <f ca="1">Orders[[#This Row],[Quantity]]*Orders[[#This Row],[Unit Price]]*(1-Orders[[#This Row],[Discount%]])</f>
        <v>240120</v>
      </c>
      <c r="J5" t="str" cm="1">
        <f t="array" aca="1" ref="J5" ca="1">INDEX(PaymentMethods[Payment Method],RANDBETWEEN(1,5))</f>
        <v>Credit Card</v>
      </c>
    </row>
    <row r="6" spans="1:13" x14ac:dyDescent="0.3">
      <c r="A6" t="str">
        <f t="shared" si="1"/>
        <v>O0005</v>
      </c>
      <c r="B6" s="6">
        <f ca="1">Orders[[#This Row],[Discount%]]</f>
        <v>0.15</v>
      </c>
      <c r="C6" t="str" cm="1">
        <f t="array" aca="1" ref="C6" ca="1">INDEX(Customers[Customer ID],RANDBETWEEN(1,200))</f>
        <v>C109</v>
      </c>
      <c r="D6" t="str" cm="1">
        <f t="array" aca="1" ref="D6" ca="1">INDEX(Products[Product ID],RANDBETWEEN(1,50))</f>
        <v>P010</v>
      </c>
      <c r="E6" t="str" cm="1">
        <f t="array" aca="1" ref="E6" ca="1">INDEX(Warehouses[Warehouse ID],RANDBETWEEN(1,8))</f>
        <v>W004</v>
      </c>
      <c r="F6">
        <f t="shared" ca="1" si="0"/>
        <v>7</v>
      </c>
      <c r="G6">
        <f ca="1">_xlfn.XLOOKUP(Orders[[#This Row],[Product ID]],Products[Product ID],Products[Selling Price])</f>
        <v>250</v>
      </c>
      <c r="H6" s="6">
        <f t="shared" ca="1" si="2"/>
        <v>0.15</v>
      </c>
      <c r="I6">
        <f ca="1">Orders[[#This Row],[Quantity]]*Orders[[#This Row],[Unit Price]]*(1-Orders[[#This Row],[Discount%]])</f>
        <v>1487.5</v>
      </c>
      <c r="J6" t="str" cm="1">
        <f t="array" aca="1" ref="J6" ca="1">INDEX(PaymentMethods[Payment Method],RANDBETWEEN(1,5))</f>
        <v>Debit Card</v>
      </c>
      <c r="M6" s="6"/>
    </row>
    <row r="7" spans="1:13" x14ac:dyDescent="0.3">
      <c r="A7" t="str">
        <f t="shared" si="1"/>
        <v>O0006</v>
      </c>
      <c r="B7" s="6">
        <f ca="1">Orders[[#This Row],[Discount%]]</f>
        <v>0.1</v>
      </c>
      <c r="C7" t="str" cm="1">
        <f t="array" aca="1" ref="C7" ca="1">INDEX(Customers[Customer ID],RANDBETWEEN(1,200))</f>
        <v>C136</v>
      </c>
      <c r="D7" t="str" cm="1">
        <f t="array" aca="1" ref="D7" ca="1">INDEX(Products[Product ID],RANDBETWEEN(1,50))</f>
        <v>P039</v>
      </c>
      <c r="E7" t="str" cm="1">
        <f t="array" aca="1" ref="E7" ca="1">INDEX(Warehouses[Warehouse ID],RANDBETWEEN(1,8))</f>
        <v>W005</v>
      </c>
      <c r="F7">
        <f t="shared" ca="1" si="0"/>
        <v>7</v>
      </c>
      <c r="G7">
        <f ca="1">_xlfn.XLOOKUP(Orders[[#This Row],[Product ID]],Products[Product ID],Products[Selling Price])</f>
        <v>250</v>
      </c>
      <c r="H7" s="6">
        <f t="shared" ca="1" si="2"/>
        <v>0.1</v>
      </c>
      <c r="I7">
        <f ca="1">Orders[[#This Row],[Quantity]]*Orders[[#This Row],[Unit Price]]*(1-Orders[[#This Row],[Discount%]])</f>
        <v>1575</v>
      </c>
      <c r="J7" t="str" cm="1">
        <f t="array" aca="1" ref="J7" ca="1">INDEX(PaymentMethods[Payment Method],RANDBETWEEN(1,5))</f>
        <v>Debit Card</v>
      </c>
    </row>
    <row r="8" spans="1:13" x14ac:dyDescent="0.3">
      <c r="A8" t="str">
        <f t="shared" si="1"/>
        <v>O0007</v>
      </c>
      <c r="B8" s="6">
        <f ca="1">Orders[[#This Row],[Discount%]]</f>
        <v>0.13</v>
      </c>
      <c r="C8" t="str" cm="1">
        <f t="array" aca="1" ref="C8" ca="1">INDEX(Customers[Customer ID],RANDBETWEEN(1,200))</f>
        <v>C186</v>
      </c>
      <c r="D8" t="str" cm="1">
        <f t="array" aca="1" ref="D8" ca="1">INDEX(Products[Product ID],RANDBETWEEN(1,50))</f>
        <v>P042</v>
      </c>
      <c r="E8" t="str" cm="1">
        <f t="array" aca="1" ref="E8" ca="1">INDEX(Warehouses[Warehouse ID],RANDBETWEEN(1,8))</f>
        <v>W002</v>
      </c>
      <c r="F8">
        <f t="shared" ca="1" si="0"/>
        <v>8</v>
      </c>
      <c r="G8">
        <f ca="1">_xlfn.XLOOKUP(Orders[[#This Row],[Product ID]],Products[Product ID],Products[Selling Price])</f>
        <v>29000</v>
      </c>
      <c r="H8" s="6">
        <f t="shared" ca="1" si="2"/>
        <v>0.13</v>
      </c>
      <c r="I8">
        <f ca="1">Orders[[#This Row],[Quantity]]*Orders[[#This Row],[Unit Price]]*(1-Orders[[#This Row],[Discount%]])</f>
        <v>201840</v>
      </c>
      <c r="J8" t="str" cm="1">
        <f t="array" aca="1" ref="J8" ca="1">INDEX(PaymentMethods[Payment Method],RANDBETWEEN(1,5))</f>
        <v>Debit Card</v>
      </c>
    </row>
    <row r="9" spans="1:13" x14ac:dyDescent="0.3">
      <c r="A9" t="str">
        <f t="shared" si="1"/>
        <v>O0008</v>
      </c>
      <c r="B9" s="6">
        <f ca="1">Orders[[#This Row],[Discount%]]</f>
        <v>0.12</v>
      </c>
      <c r="C9" t="str" cm="1">
        <f t="array" aca="1" ref="C9" ca="1">INDEX(Customers[Customer ID],RANDBETWEEN(1,200))</f>
        <v>C159</v>
      </c>
      <c r="D9" t="str" cm="1">
        <f t="array" aca="1" ref="D9" ca="1">INDEX(Products[Product ID],RANDBETWEEN(1,50))</f>
        <v>P010</v>
      </c>
      <c r="E9" t="str" cm="1">
        <f t="array" aca="1" ref="E9" ca="1">INDEX(Warehouses[Warehouse ID],RANDBETWEEN(1,8))</f>
        <v>W008</v>
      </c>
      <c r="F9">
        <f t="shared" ca="1" si="0"/>
        <v>7</v>
      </c>
      <c r="G9">
        <f ca="1">_xlfn.XLOOKUP(Orders[[#This Row],[Product ID]],Products[Product ID],Products[Selling Price])</f>
        <v>250</v>
      </c>
      <c r="H9" s="6">
        <f t="shared" ca="1" si="2"/>
        <v>0.12</v>
      </c>
      <c r="I9">
        <f ca="1">Orders[[#This Row],[Quantity]]*Orders[[#This Row],[Unit Price]]*(1-Orders[[#This Row],[Discount%]])</f>
        <v>1540</v>
      </c>
      <c r="J9" t="str" cm="1">
        <f t="array" aca="1" ref="J9" ca="1">INDEX(PaymentMethods[Payment Method],RANDBETWEEN(1,5))</f>
        <v>Cash</v>
      </c>
    </row>
    <row r="10" spans="1:13" x14ac:dyDescent="0.3">
      <c r="A10" t="str">
        <f t="shared" si="1"/>
        <v>O0009</v>
      </c>
      <c r="B10" s="6">
        <f ca="1">Orders[[#This Row],[Discount%]]</f>
        <v>0.04</v>
      </c>
      <c r="C10" t="str" cm="1">
        <f t="array" aca="1" ref="C10" ca="1">INDEX(Customers[Customer ID],RANDBETWEEN(1,200))</f>
        <v>C032</v>
      </c>
      <c r="D10" t="str" cm="1">
        <f t="array" aca="1" ref="D10" ca="1">INDEX(Products[Product ID],RANDBETWEEN(1,50))</f>
        <v>P021</v>
      </c>
      <c r="E10" t="str" cm="1">
        <f t="array" aca="1" ref="E10" ca="1">INDEX(Warehouses[Warehouse ID],RANDBETWEEN(1,8))</f>
        <v>W007</v>
      </c>
      <c r="F10">
        <f t="shared" ca="1" si="0"/>
        <v>5</v>
      </c>
      <c r="G10">
        <f ca="1">_xlfn.XLOOKUP(Orders[[#This Row],[Product ID]],Products[Product ID],Products[Selling Price])</f>
        <v>22000</v>
      </c>
      <c r="H10" s="6">
        <f t="shared" ca="1" si="2"/>
        <v>0.04</v>
      </c>
      <c r="I10">
        <f ca="1">Orders[[#This Row],[Quantity]]*Orders[[#This Row],[Unit Price]]*(1-Orders[[#This Row],[Discount%]])</f>
        <v>105600</v>
      </c>
      <c r="J10" t="str" cm="1">
        <f t="array" aca="1" ref="J10" ca="1">INDEX(PaymentMethods[Payment Method],RANDBETWEEN(1,5))</f>
        <v>Credit Card</v>
      </c>
    </row>
    <row r="11" spans="1:13" x14ac:dyDescent="0.3">
      <c r="A11" t="str">
        <f t="shared" si="1"/>
        <v>O0010</v>
      </c>
      <c r="B11" s="6">
        <f ca="1">Orders[[#This Row],[Discount%]]</f>
        <v>7.0000000000000007E-2</v>
      </c>
      <c r="C11" t="str" cm="1">
        <f t="array" aca="1" ref="C11" ca="1">INDEX(Customers[Customer ID],RANDBETWEEN(1,200))</f>
        <v>C114</v>
      </c>
      <c r="D11" t="str" cm="1">
        <f t="array" aca="1" ref="D11" ca="1">INDEX(Products[Product ID],RANDBETWEEN(1,50))</f>
        <v>P019</v>
      </c>
      <c r="E11" t="str" cm="1">
        <f t="array" aca="1" ref="E11" ca="1">INDEX(Warehouses[Warehouse ID],RANDBETWEEN(1,8))</f>
        <v>W001</v>
      </c>
      <c r="F11">
        <f t="shared" ca="1" si="0"/>
        <v>2</v>
      </c>
      <c r="G11">
        <f ca="1">_xlfn.XLOOKUP(Orders[[#This Row],[Product ID]],Products[Product ID],Products[Selling Price])</f>
        <v>950</v>
      </c>
      <c r="H11" s="6">
        <f t="shared" ca="1" si="2"/>
        <v>7.0000000000000007E-2</v>
      </c>
      <c r="I11">
        <f ca="1">Orders[[#This Row],[Quantity]]*Orders[[#This Row],[Unit Price]]*(1-Orders[[#This Row],[Discount%]])</f>
        <v>1766.9999999999998</v>
      </c>
      <c r="J11" t="str" cm="1">
        <f t="array" aca="1" ref="J11" ca="1">INDEX(PaymentMethods[Payment Method],RANDBETWEEN(1,5))</f>
        <v>UPI</v>
      </c>
    </row>
    <row r="12" spans="1:13" x14ac:dyDescent="0.3">
      <c r="A12" t="str">
        <f t="shared" si="1"/>
        <v>O0011</v>
      </c>
      <c r="B12" s="6">
        <f ca="1">Orders[[#This Row],[Discount%]]</f>
        <v>0.14000000000000001</v>
      </c>
      <c r="C12" t="str" cm="1">
        <f t="array" aca="1" ref="C12" ca="1">INDEX(Customers[Customer ID],RANDBETWEEN(1,200))</f>
        <v>C037</v>
      </c>
      <c r="D12" t="str" cm="1">
        <f t="array" aca="1" ref="D12" ca="1">INDEX(Products[Product ID],RANDBETWEEN(1,50))</f>
        <v>P046</v>
      </c>
      <c r="E12" t="str" cm="1">
        <f t="array" aca="1" ref="E12" ca="1">INDEX(Warehouses[Warehouse ID],RANDBETWEEN(1,8))</f>
        <v>W007</v>
      </c>
      <c r="F12">
        <f t="shared" ca="1" si="0"/>
        <v>1</v>
      </c>
      <c r="G12">
        <f ca="1">_xlfn.XLOOKUP(Orders[[#This Row],[Product ID]],Products[Product ID],Products[Selling Price])</f>
        <v>2500</v>
      </c>
      <c r="H12" s="6">
        <f t="shared" ca="1" si="2"/>
        <v>0.14000000000000001</v>
      </c>
      <c r="I12">
        <f ca="1">Orders[[#This Row],[Quantity]]*Orders[[#This Row],[Unit Price]]*(1-Orders[[#This Row],[Discount%]])</f>
        <v>2150</v>
      </c>
      <c r="J12" t="str" cm="1">
        <f t="array" aca="1" ref="J12" ca="1">INDEX(PaymentMethods[Payment Method],RANDBETWEEN(1,5))</f>
        <v>Net Banking</v>
      </c>
    </row>
    <row r="13" spans="1:13" x14ac:dyDescent="0.3">
      <c r="A13" t="str">
        <f t="shared" si="1"/>
        <v>O0012</v>
      </c>
      <c r="B13" s="6">
        <f ca="1">Orders[[#This Row],[Discount%]]</f>
        <v>0.02</v>
      </c>
      <c r="C13" t="str" cm="1">
        <f t="array" aca="1" ref="C13" ca="1">INDEX(Customers[Customer ID],RANDBETWEEN(1,200))</f>
        <v>C098</v>
      </c>
      <c r="D13" t="str" cm="1">
        <f t="array" aca="1" ref="D13" ca="1">INDEX(Products[Product ID],RANDBETWEEN(1,50))</f>
        <v>P003</v>
      </c>
      <c r="E13" t="str" cm="1">
        <f t="array" aca="1" ref="E13" ca="1">INDEX(Warehouses[Warehouse ID],RANDBETWEEN(1,8))</f>
        <v>W008</v>
      </c>
      <c r="F13">
        <f t="shared" ca="1" si="0"/>
        <v>4</v>
      </c>
      <c r="G13">
        <f ca="1">_xlfn.XLOOKUP(Orders[[#This Row],[Product ID]],Products[Product ID],Products[Selling Price])</f>
        <v>900</v>
      </c>
      <c r="H13" s="6">
        <f t="shared" ca="1" si="2"/>
        <v>0.02</v>
      </c>
      <c r="I13">
        <f ca="1">Orders[[#This Row],[Quantity]]*Orders[[#This Row],[Unit Price]]*(1-Orders[[#This Row],[Discount%]])</f>
        <v>3528</v>
      </c>
      <c r="J13" t="str" cm="1">
        <f t="array" aca="1" ref="J13" ca="1">INDEX(PaymentMethods[Payment Method],RANDBETWEEN(1,5))</f>
        <v>Cash</v>
      </c>
    </row>
    <row r="14" spans="1:13" x14ac:dyDescent="0.3">
      <c r="A14" t="str">
        <f t="shared" si="1"/>
        <v>O0013</v>
      </c>
      <c r="B14" s="6">
        <f ca="1">Orders[[#This Row],[Discount%]]</f>
        <v>0.19</v>
      </c>
      <c r="C14" s="5" t="str" cm="1">
        <f t="array" aca="1" ref="C14" ca="1">INDEX(Customers[Customer ID],RANDBETWEEN(1,200))</f>
        <v>C136</v>
      </c>
      <c r="D14" t="str" cm="1">
        <f t="array" aca="1" ref="D14" ca="1">INDEX(Products[Product ID],RANDBETWEEN(1,50))</f>
        <v>P002</v>
      </c>
      <c r="E14" t="str" cm="1">
        <f t="array" aca="1" ref="E14" ca="1">INDEX(Warehouses[Warehouse ID],RANDBETWEEN(1,8))</f>
        <v>W005</v>
      </c>
      <c r="F14">
        <f t="shared" ca="1" si="0"/>
        <v>8</v>
      </c>
      <c r="G14">
        <f ca="1">_xlfn.XLOOKUP(Orders[[#This Row],[Product ID]],Products[Product ID],Products[Selling Price])</f>
        <v>550</v>
      </c>
      <c r="H14" s="6">
        <f t="shared" ca="1" si="2"/>
        <v>0.19</v>
      </c>
      <c r="I14">
        <f ca="1">Orders[[#This Row],[Quantity]]*Orders[[#This Row],[Unit Price]]*(1-Orders[[#This Row],[Discount%]])</f>
        <v>3564.0000000000005</v>
      </c>
      <c r="J14" t="str" cm="1">
        <f t="array" aca="1" ref="J14" ca="1">INDEX(PaymentMethods[Payment Method],RANDBETWEEN(1,5))</f>
        <v>Credit Card</v>
      </c>
    </row>
    <row r="15" spans="1:13" x14ac:dyDescent="0.3">
      <c r="A15" t="str">
        <f t="shared" si="1"/>
        <v>O0014</v>
      </c>
      <c r="B15" s="6">
        <f ca="1">Orders[[#This Row],[Discount%]]</f>
        <v>0.04</v>
      </c>
      <c r="C15" t="str" cm="1">
        <f t="array" aca="1" ref="C15" ca="1">INDEX(Customers[Customer ID],RANDBETWEEN(1,200))</f>
        <v>C016</v>
      </c>
      <c r="D15" t="str" cm="1">
        <f t="array" aca="1" ref="D15" ca="1">INDEX(Products[Product ID],RANDBETWEEN(1,50))</f>
        <v>P049</v>
      </c>
      <c r="E15" t="str" cm="1">
        <f t="array" aca="1" ref="E15" ca="1">INDEX(Warehouses[Warehouse ID],RANDBETWEEN(1,8))</f>
        <v>W002</v>
      </c>
      <c r="F15">
        <f t="shared" ca="1" si="0"/>
        <v>6</v>
      </c>
      <c r="G15">
        <f ca="1">_xlfn.XLOOKUP(Orders[[#This Row],[Product ID]],Products[Product ID],Products[Selling Price])</f>
        <v>3800</v>
      </c>
      <c r="H15" s="6">
        <f t="shared" ca="1" si="2"/>
        <v>0.04</v>
      </c>
      <c r="I15">
        <f ca="1">Orders[[#This Row],[Quantity]]*Orders[[#This Row],[Unit Price]]*(1-Orders[[#This Row],[Discount%]])</f>
        <v>21888</v>
      </c>
      <c r="J15" t="str" cm="1">
        <f t="array" aca="1" ref="J15" ca="1">INDEX(PaymentMethods[Payment Method],RANDBETWEEN(1,5))</f>
        <v>Cash</v>
      </c>
    </row>
    <row r="16" spans="1:13" x14ac:dyDescent="0.3">
      <c r="A16" t="str">
        <f t="shared" si="1"/>
        <v>O0015</v>
      </c>
      <c r="B16" s="6">
        <f ca="1">Orders[[#This Row],[Discount%]]</f>
        <v>0.17</v>
      </c>
      <c r="C16" t="str" cm="1">
        <f t="array" aca="1" ref="C16" ca="1">INDEX(Customers[Customer ID],RANDBETWEEN(1,200))</f>
        <v>C094</v>
      </c>
      <c r="D16" t="str" cm="1">
        <f t="array" aca="1" ref="D16" ca="1">INDEX(Products[Product ID],RANDBETWEEN(1,50))</f>
        <v>P049</v>
      </c>
      <c r="E16" t="str" cm="1">
        <f t="array" aca="1" ref="E16" ca="1">INDEX(Warehouses[Warehouse ID],RANDBETWEEN(1,8))</f>
        <v>W002</v>
      </c>
      <c r="F16">
        <f t="shared" ca="1" si="0"/>
        <v>6</v>
      </c>
      <c r="G16">
        <f ca="1">_xlfn.XLOOKUP(Orders[[#This Row],[Product ID]],Products[Product ID],Products[Selling Price])</f>
        <v>3800</v>
      </c>
      <c r="H16" s="6">
        <f t="shared" ca="1" si="2"/>
        <v>0.17</v>
      </c>
      <c r="I16">
        <f ca="1">Orders[[#This Row],[Quantity]]*Orders[[#This Row],[Unit Price]]*(1-Orders[[#This Row],[Discount%]])</f>
        <v>18924</v>
      </c>
      <c r="J16" t="str" cm="1">
        <f t="array" aca="1" ref="J16" ca="1">INDEX(PaymentMethods[Payment Method],RANDBETWEEN(1,5))</f>
        <v>UPI</v>
      </c>
    </row>
    <row r="17" spans="1:10" x14ac:dyDescent="0.3">
      <c r="A17" t="str">
        <f t="shared" si="1"/>
        <v>O0016</v>
      </c>
      <c r="B17" s="6">
        <f ca="1">Orders[[#This Row],[Discount%]]</f>
        <v>0.13</v>
      </c>
      <c r="C17" t="str" cm="1">
        <f t="array" aca="1" ref="C17" ca="1">INDEX(Customers[Customer ID],RANDBETWEEN(1,200))</f>
        <v>C165</v>
      </c>
      <c r="D17" t="str" cm="1">
        <f t="array" aca="1" ref="D17" ca="1">INDEX(Products[Product ID],RANDBETWEEN(1,50))</f>
        <v>P047</v>
      </c>
      <c r="E17" t="str" cm="1">
        <f t="array" aca="1" ref="E17" ca="1">INDEX(Warehouses[Warehouse ID],RANDBETWEEN(1,8))</f>
        <v>W005</v>
      </c>
      <c r="F17">
        <f t="shared" ca="1" si="0"/>
        <v>4</v>
      </c>
      <c r="G17">
        <f ca="1">_xlfn.XLOOKUP(Orders[[#This Row],[Product ID]],Products[Product ID],Products[Selling Price])</f>
        <v>6200</v>
      </c>
      <c r="H17" s="6">
        <f t="shared" ca="1" si="2"/>
        <v>0.13</v>
      </c>
      <c r="I17">
        <f ca="1">Orders[[#This Row],[Quantity]]*Orders[[#This Row],[Unit Price]]*(1-Orders[[#This Row],[Discount%]])</f>
        <v>21576</v>
      </c>
      <c r="J17" t="str" cm="1">
        <f t="array" aca="1" ref="J17" ca="1">INDEX(PaymentMethods[Payment Method],RANDBETWEEN(1,5))</f>
        <v>Debit Card</v>
      </c>
    </row>
    <row r="18" spans="1:10" x14ac:dyDescent="0.3">
      <c r="A18" t="str">
        <f t="shared" si="1"/>
        <v>O0017</v>
      </c>
      <c r="B18" s="6">
        <f ca="1">Orders[[#This Row],[Discount%]]</f>
        <v>0.14000000000000001</v>
      </c>
      <c r="C18" t="str" cm="1">
        <f t="array" aca="1" ref="C18" ca="1">INDEX(Customers[Customer ID],RANDBETWEEN(1,200))</f>
        <v>C114</v>
      </c>
      <c r="D18" t="str" cm="1">
        <f t="array" aca="1" ref="D18" ca="1">INDEX(Products[Product ID],RANDBETWEEN(1,50))</f>
        <v>P048</v>
      </c>
      <c r="E18" t="str" cm="1">
        <f t="array" aca="1" ref="E18" ca="1">INDEX(Warehouses[Warehouse ID],RANDBETWEEN(1,8))</f>
        <v>W002</v>
      </c>
      <c r="F18">
        <f t="shared" ca="1" si="0"/>
        <v>8</v>
      </c>
      <c r="G18">
        <f ca="1">_xlfn.XLOOKUP(Orders[[#This Row],[Product ID]],Products[Product ID],Products[Selling Price])</f>
        <v>1200</v>
      </c>
      <c r="H18" s="6">
        <f t="shared" ca="1" si="2"/>
        <v>0.14000000000000001</v>
      </c>
      <c r="I18">
        <f ca="1">Orders[[#This Row],[Quantity]]*Orders[[#This Row],[Unit Price]]*(1-Orders[[#This Row],[Discount%]])</f>
        <v>8256</v>
      </c>
      <c r="J18" t="str" cm="1">
        <f t="array" aca="1" ref="J18" ca="1">INDEX(PaymentMethods[Payment Method],RANDBETWEEN(1,5))</f>
        <v>Credit Card</v>
      </c>
    </row>
    <row r="19" spans="1:10" x14ac:dyDescent="0.3">
      <c r="A19" t="str">
        <f t="shared" si="1"/>
        <v>O0018</v>
      </c>
      <c r="B19" s="6">
        <f ca="1">Orders[[#This Row],[Discount%]]</f>
        <v>0.03</v>
      </c>
      <c r="C19" t="str" cm="1">
        <f t="array" aca="1" ref="C19" ca="1">INDEX(Customers[Customer ID],RANDBETWEEN(1,200))</f>
        <v>C108</v>
      </c>
      <c r="D19" t="str" cm="1">
        <f t="array" aca="1" ref="D19" ca="1">INDEX(Products[Product ID],RANDBETWEEN(1,50))</f>
        <v>P050</v>
      </c>
      <c r="E19" t="str" cm="1">
        <f t="array" aca="1" ref="E19" ca="1">INDEX(Warehouses[Warehouse ID],RANDBETWEEN(1,8))</f>
        <v>W003</v>
      </c>
      <c r="F19">
        <f t="shared" ca="1" si="0"/>
        <v>9</v>
      </c>
      <c r="G19">
        <f ca="1">_xlfn.XLOOKUP(Orders[[#This Row],[Product ID]],Products[Product ID],Products[Selling Price])</f>
        <v>12000</v>
      </c>
      <c r="H19" s="6">
        <f t="shared" ca="1" si="2"/>
        <v>0.03</v>
      </c>
      <c r="I19">
        <f ca="1">Orders[[#This Row],[Quantity]]*Orders[[#This Row],[Unit Price]]*(1-Orders[[#This Row],[Discount%]])</f>
        <v>104760</v>
      </c>
      <c r="J19" t="str" cm="1">
        <f t="array" aca="1" ref="J19" ca="1">INDEX(PaymentMethods[Payment Method],RANDBETWEEN(1,5))</f>
        <v>UPI</v>
      </c>
    </row>
    <row r="20" spans="1:10" x14ac:dyDescent="0.3">
      <c r="A20" t="str">
        <f t="shared" si="1"/>
        <v>O0019</v>
      </c>
      <c r="B20" s="6">
        <f ca="1">Orders[[#This Row],[Discount%]]</f>
        <v>0.1</v>
      </c>
      <c r="C20" t="str" cm="1">
        <f t="array" aca="1" ref="C20" ca="1">INDEX(Customers[Customer ID],RANDBETWEEN(1,200))</f>
        <v>C024</v>
      </c>
      <c r="D20" t="str" cm="1">
        <f t="array" aca="1" ref="D20" ca="1">INDEX(Products[Product ID],RANDBETWEEN(1,50))</f>
        <v>P050</v>
      </c>
      <c r="E20" t="str" cm="1">
        <f t="array" aca="1" ref="E20" ca="1">INDEX(Warehouses[Warehouse ID],RANDBETWEEN(1,8))</f>
        <v>W004</v>
      </c>
      <c r="F20">
        <f t="shared" ca="1" si="0"/>
        <v>1</v>
      </c>
      <c r="G20">
        <f ca="1">_xlfn.XLOOKUP(Orders[[#This Row],[Product ID]],Products[Product ID],Products[Selling Price])</f>
        <v>12000</v>
      </c>
      <c r="H20" s="6">
        <f t="shared" ca="1" si="2"/>
        <v>0.1</v>
      </c>
      <c r="I20">
        <f ca="1">Orders[[#This Row],[Quantity]]*Orders[[#This Row],[Unit Price]]*(1-Orders[[#This Row],[Discount%]])</f>
        <v>10800</v>
      </c>
      <c r="J20" t="str" cm="1">
        <f t="array" aca="1" ref="J20" ca="1">INDEX(PaymentMethods[Payment Method],RANDBETWEEN(1,5))</f>
        <v>UPI</v>
      </c>
    </row>
    <row r="21" spans="1:10" x14ac:dyDescent="0.3">
      <c r="A21" t="str">
        <f t="shared" si="1"/>
        <v>O0020</v>
      </c>
      <c r="B21" s="6">
        <f ca="1">Orders[[#This Row],[Discount%]]</f>
        <v>0.04</v>
      </c>
      <c r="C21" t="str" cm="1">
        <f t="array" aca="1" ref="C21" ca="1">INDEX(Customers[Customer ID],RANDBETWEEN(1,200))</f>
        <v>C133</v>
      </c>
      <c r="D21" t="str" cm="1">
        <f t="array" aca="1" ref="D21" ca="1">INDEX(Products[Product ID],RANDBETWEEN(1,50))</f>
        <v>P019</v>
      </c>
      <c r="E21" t="str" cm="1">
        <f t="array" aca="1" ref="E21" ca="1">INDEX(Warehouses[Warehouse ID],RANDBETWEEN(1,8))</f>
        <v>W005</v>
      </c>
      <c r="F21">
        <f t="shared" ca="1" si="0"/>
        <v>5</v>
      </c>
      <c r="G21">
        <f ca="1">_xlfn.XLOOKUP(Orders[[#This Row],[Product ID]],Products[Product ID],Products[Selling Price])</f>
        <v>950</v>
      </c>
      <c r="H21" s="6">
        <f t="shared" ca="1" si="2"/>
        <v>0.04</v>
      </c>
      <c r="I21">
        <f ca="1">Orders[[#This Row],[Quantity]]*Orders[[#This Row],[Unit Price]]*(1-Orders[[#This Row],[Discount%]])</f>
        <v>4560</v>
      </c>
      <c r="J21" t="str" cm="1">
        <f t="array" aca="1" ref="J21" ca="1">INDEX(PaymentMethods[Payment Method],RANDBETWEEN(1,5))</f>
        <v>Debit Card</v>
      </c>
    </row>
    <row r="22" spans="1:10" x14ac:dyDescent="0.3">
      <c r="A22" t="str">
        <f t="shared" si="1"/>
        <v>O0021</v>
      </c>
      <c r="B22" s="6">
        <f ca="1">Orders[[#This Row],[Discount%]]</f>
        <v>0.01</v>
      </c>
      <c r="C22" t="str" cm="1">
        <f t="array" aca="1" ref="C22" ca="1">INDEX(Customers[Customer ID],RANDBETWEEN(1,200))</f>
        <v>C139</v>
      </c>
      <c r="D22" t="str" cm="1">
        <f t="array" aca="1" ref="D22" ca="1">INDEX(Products[Product ID],RANDBETWEEN(1,50))</f>
        <v>P048</v>
      </c>
      <c r="E22" t="str" cm="1">
        <f t="array" aca="1" ref="E22" ca="1">INDEX(Warehouses[Warehouse ID],RANDBETWEEN(1,8))</f>
        <v>W008</v>
      </c>
      <c r="F22">
        <f t="shared" ca="1" si="0"/>
        <v>6</v>
      </c>
      <c r="G22">
        <f ca="1">_xlfn.XLOOKUP(Orders[[#This Row],[Product ID]],Products[Product ID],Products[Selling Price])</f>
        <v>1200</v>
      </c>
      <c r="H22" s="6">
        <f t="shared" ca="1" si="2"/>
        <v>0.01</v>
      </c>
      <c r="I22">
        <f ca="1">Orders[[#This Row],[Quantity]]*Orders[[#This Row],[Unit Price]]*(1-Orders[[#This Row],[Discount%]])</f>
        <v>7128</v>
      </c>
      <c r="J22" t="str" cm="1">
        <f t="array" aca="1" ref="J22" ca="1">INDEX(PaymentMethods[Payment Method],RANDBETWEEN(1,5))</f>
        <v>Credit Card</v>
      </c>
    </row>
    <row r="23" spans="1:10" x14ac:dyDescent="0.3">
      <c r="A23" t="str">
        <f t="shared" si="1"/>
        <v>O0022</v>
      </c>
      <c r="B23" s="6">
        <f ca="1">Orders[[#This Row],[Discount%]]</f>
        <v>0.04</v>
      </c>
      <c r="C23" t="str" cm="1">
        <f t="array" aca="1" ref="C23" ca="1">INDEX(Customers[Customer ID],RANDBETWEEN(1,200))</f>
        <v>C089</v>
      </c>
      <c r="D23" t="str" cm="1">
        <f t="array" aca="1" ref="D23" ca="1">INDEX(Products[Product ID],RANDBETWEEN(1,50))</f>
        <v>P025</v>
      </c>
      <c r="E23" t="str" cm="1">
        <f t="array" aca="1" ref="E23" ca="1">INDEX(Warehouses[Warehouse ID],RANDBETWEEN(1,8))</f>
        <v>W006</v>
      </c>
      <c r="F23">
        <f t="shared" ca="1" si="0"/>
        <v>1</v>
      </c>
      <c r="G23">
        <f ca="1">_xlfn.XLOOKUP(Orders[[#This Row],[Product ID]],Products[Product ID],Products[Selling Price])</f>
        <v>1800</v>
      </c>
      <c r="H23" s="6">
        <f t="shared" ca="1" si="2"/>
        <v>0.04</v>
      </c>
      <c r="I23">
        <f ca="1">Orders[[#This Row],[Quantity]]*Orders[[#This Row],[Unit Price]]*(1-Orders[[#This Row],[Discount%]])</f>
        <v>1728</v>
      </c>
      <c r="J23" t="str" cm="1">
        <f t="array" aca="1" ref="J23" ca="1">INDEX(PaymentMethods[Payment Method],RANDBETWEEN(1,5))</f>
        <v>Cash</v>
      </c>
    </row>
    <row r="24" spans="1:10" x14ac:dyDescent="0.3">
      <c r="A24" t="str">
        <f t="shared" si="1"/>
        <v>O0023</v>
      </c>
      <c r="B24" s="6">
        <f ca="1">Orders[[#This Row],[Discount%]]</f>
        <v>0.04</v>
      </c>
      <c r="C24" t="str" cm="1">
        <f t="array" aca="1" ref="C24" ca="1">INDEX(Customers[Customer ID],RANDBETWEEN(1,200))</f>
        <v>C011</v>
      </c>
      <c r="D24" t="str" cm="1">
        <f t="array" aca="1" ref="D24" ca="1">INDEX(Products[Product ID],RANDBETWEEN(1,50))</f>
        <v>P005</v>
      </c>
      <c r="E24" t="str" cm="1">
        <f t="array" aca="1" ref="E24" ca="1">INDEX(Warehouses[Warehouse ID],RANDBETWEEN(1,8))</f>
        <v>W003</v>
      </c>
      <c r="F24">
        <f t="shared" ca="1" si="0"/>
        <v>10</v>
      </c>
      <c r="G24">
        <f ca="1">_xlfn.XLOOKUP(Orders[[#This Row],[Product ID]],Products[Product ID],Products[Selling Price])</f>
        <v>10500</v>
      </c>
      <c r="H24" s="6">
        <f t="shared" ca="1" si="2"/>
        <v>0.04</v>
      </c>
      <c r="I24">
        <f ca="1">Orders[[#This Row],[Quantity]]*Orders[[#This Row],[Unit Price]]*(1-Orders[[#This Row],[Discount%]])</f>
        <v>100800</v>
      </c>
      <c r="J24" t="str" cm="1">
        <f t="array" aca="1" ref="J24" ca="1">INDEX(PaymentMethods[Payment Method],RANDBETWEEN(1,5))</f>
        <v>Net Banking</v>
      </c>
    </row>
    <row r="25" spans="1:10" x14ac:dyDescent="0.3">
      <c r="A25" t="str">
        <f t="shared" si="1"/>
        <v>O0024</v>
      </c>
      <c r="B25" s="6">
        <f ca="1">Orders[[#This Row],[Discount%]]</f>
        <v>0.19</v>
      </c>
      <c r="C25" t="str" cm="1">
        <f t="array" aca="1" ref="C25" ca="1">INDEX(Customers[Customer ID],RANDBETWEEN(1,200))</f>
        <v>C104</v>
      </c>
      <c r="D25" t="str" cm="1">
        <f t="array" aca="1" ref="D25" ca="1">INDEX(Products[Product ID],RANDBETWEEN(1,50))</f>
        <v>P015</v>
      </c>
      <c r="E25" t="str" cm="1">
        <f t="array" aca="1" ref="E25" ca="1">INDEX(Warehouses[Warehouse ID],RANDBETWEEN(1,8))</f>
        <v>W001</v>
      </c>
      <c r="F25">
        <f t="shared" ca="1" si="0"/>
        <v>9</v>
      </c>
      <c r="G25">
        <f ca="1">_xlfn.XLOOKUP(Orders[[#This Row],[Product ID]],Products[Product ID],Products[Selling Price])</f>
        <v>1800</v>
      </c>
      <c r="H25" s="6">
        <f t="shared" ca="1" si="2"/>
        <v>0.19</v>
      </c>
      <c r="I25">
        <f ca="1">Orders[[#This Row],[Quantity]]*Orders[[#This Row],[Unit Price]]*(1-Orders[[#This Row],[Discount%]])</f>
        <v>13122</v>
      </c>
      <c r="J25" t="str" cm="1">
        <f t="array" aca="1" ref="J25" ca="1">INDEX(PaymentMethods[Payment Method],RANDBETWEEN(1,5))</f>
        <v>UPI</v>
      </c>
    </row>
    <row r="26" spans="1:10" x14ac:dyDescent="0.3">
      <c r="A26" t="str">
        <f t="shared" si="1"/>
        <v>O0025</v>
      </c>
      <c r="B26" s="6">
        <f ca="1">Orders[[#This Row],[Discount%]]</f>
        <v>0.18</v>
      </c>
      <c r="C26" t="str" cm="1">
        <f t="array" aca="1" ref="C26" ca="1">INDEX(Customers[Customer ID],RANDBETWEEN(1,200))</f>
        <v>C196</v>
      </c>
      <c r="D26" t="str" cm="1">
        <f t="array" aca="1" ref="D26" ca="1">INDEX(Products[Product ID],RANDBETWEEN(1,50))</f>
        <v>P043</v>
      </c>
      <c r="E26" t="str" cm="1">
        <f t="array" aca="1" ref="E26" ca="1">INDEX(Warehouses[Warehouse ID],RANDBETWEEN(1,8))</f>
        <v>W005</v>
      </c>
      <c r="F26">
        <f t="shared" ca="1" si="0"/>
        <v>3</v>
      </c>
      <c r="G26">
        <f ca="1">_xlfn.XLOOKUP(Orders[[#This Row],[Product ID]],Products[Product ID],Products[Selling Price])</f>
        <v>24500</v>
      </c>
      <c r="H26" s="6">
        <f t="shared" ca="1" si="2"/>
        <v>0.18</v>
      </c>
      <c r="I26">
        <f ca="1">Orders[[#This Row],[Quantity]]*Orders[[#This Row],[Unit Price]]*(1-Orders[[#This Row],[Discount%]])</f>
        <v>60270.000000000007</v>
      </c>
      <c r="J26" t="str" cm="1">
        <f t="array" aca="1" ref="J26" ca="1">INDEX(PaymentMethods[Payment Method],RANDBETWEEN(1,5))</f>
        <v>Credit Card</v>
      </c>
    </row>
    <row r="27" spans="1:10" x14ac:dyDescent="0.3">
      <c r="A27" t="str">
        <f t="shared" si="1"/>
        <v>O0026</v>
      </c>
      <c r="B27" s="6">
        <f ca="1">Orders[[#This Row],[Discount%]]</f>
        <v>0.17</v>
      </c>
      <c r="C27" t="str" cm="1">
        <f t="array" aca="1" ref="C27" ca="1">INDEX(Customers[Customer ID],RANDBETWEEN(1,200))</f>
        <v>C040</v>
      </c>
      <c r="D27" t="str" cm="1">
        <f t="array" aca="1" ref="D27" ca="1">INDEX(Products[Product ID],RANDBETWEEN(1,50))</f>
        <v>P040</v>
      </c>
      <c r="E27" t="str" cm="1">
        <f t="array" aca="1" ref="E27" ca="1">INDEX(Warehouses[Warehouse ID],RANDBETWEEN(1,8))</f>
        <v>W003</v>
      </c>
      <c r="F27">
        <f t="shared" ca="1" si="0"/>
        <v>6</v>
      </c>
      <c r="G27">
        <f ca="1">_xlfn.XLOOKUP(Orders[[#This Row],[Product ID]],Products[Product ID],Products[Selling Price])</f>
        <v>180</v>
      </c>
      <c r="H27" s="6">
        <f t="shared" ca="1" si="2"/>
        <v>0.17</v>
      </c>
      <c r="I27">
        <f ca="1">Orders[[#This Row],[Quantity]]*Orders[[#This Row],[Unit Price]]*(1-Orders[[#This Row],[Discount%]])</f>
        <v>896.4</v>
      </c>
      <c r="J27" t="str" cm="1">
        <f t="array" aca="1" ref="J27" ca="1">INDEX(PaymentMethods[Payment Method],RANDBETWEEN(1,5))</f>
        <v>Credit Card</v>
      </c>
    </row>
    <row r="28" spans="1:10" x14ac:dyDescent="0.3">
      <c r="A28" t="str">
        <f t="shared" si="1"/>
        <v>O0027</v>
      </c>
      <c r="B28" s="6">
        <f ca="1">Orders[[#This Row],[Discount%]]</f>
        <v>0.15</v>
      </c>
      <c r="C28" t="str" cm="1">
        <f t="array" aca="1" ref="C28" ca="1">INDEX(Customers[Customer ID],RANDBETWEEN(1,200))</f>
        <v>C167</v>
      </c>
      <c r="D28" t="str" cm="1">
        <f t="array" aca="1" ref="D28" ca="1">INDEX(Products[Product ID],RANDBETWEEN(1,50))</f>
        <v>P008</v>
      </c>
      <c r="E28" t="str" cm="1">
        <f t="array" aca="1" ref="E28" ca="1">INDEX(Warehouses[Warehouse ID],RANDBETWEEN(1,8))</f>
        <v>W003</v>
      </c>
      <c r="F28">
        <f t="shared" ca="1" si="0"/>
        <v>4</v>
      </c>
      <c r="G28">
        <f ca="1">_xlfn.XLOOKUP(Orders[[#This Row],[Product ID]],Products[Product ID],Products[Selling Price])</f>
        <v>4200</v>
      </c>
      <c r="H28" s="6">
        <f t="shared" ca="1" si="2"/>
        <v>0.15</v>
      </c>
      <c r="I28">
        <f ca="1">Orders[[#This Row],[Quantity]]*Orders[[#This Row],[Unit Price]]*(1-Orders[[#This Row],[Discount%]])</f>
        <v>14280</v>
      </c>
      <c r="J28" t="str" cm="1">
        <f t="array" aca="1" ref="J28" ca="1">INDEX(PaymentMethods[Payment Method],RANDBETWEEN(1,5))</f>
        <v>Credit Card</v>
      </c>
    </row>
    <row r="29" spans="1:10" x14ac:dyDescent="0.3">
      <c r="A29" t="str">
        <f t="shared" si="1"/>
        <v>O0028</v>
      </c>
      <c r="B29" s="6">
        <f ca="1">Orders[[#This Row],[Discount%]]</f>
        <v>0.16</v>
      </c>
      <c r="C29" t="str" cm="1">
        <f t="array" aca="1" ref="C29" ca="1">INDEX(Customers[Customer ID],RANDBETWEEN(1,200))</f>
        <v>C087</v>
      </c>
      <c r="D29" t="str" cm="1">
        <f t="array" aca="1" ref="D29" ca="1">INDEX(Products[Product ID],RANDBETWEEN(1,50))</f>
        <v>P049</v>
      </c>
      <c r="E29" t="str" cm="1">
        <f t="array" aca="1" ref="E29" ca="1">INDEX(Warehouses[Warehouse ID],RANDBETWEEN(1,8))</f>
        <v>W007</v>
      </c>
      <c r="F29">
        <f t="shared" ca="1" si="0"/>
        <v>4</v>
      </c>
      <c r="G29">
        <f ca="1">_xlfn.XLOOKUP(Orders[[#This Row],[Product ID]],Products[Product ID],Products[Selling Price])</f>
        <v>3800</v>
      </c>
      <c r="H29" s="6">
        <f t="shared" ca="1" si="2"/>
        <v>0.16</v>
      </c>
      <c r="I29">
        <f ca="1">Orders[[#This Row],[Quantity]]*Orders[[#This Row],[Unit Price]]*(1-Orders[[#This Row],[Discount%]])</f>
        <v>12768</v>
      </c>
      <c r="J29" t="str" cm="1">
        <f t="array" aca="1" ref="J29" ca="1">INDEX(PaymentMethods[Payment Method],RANDBETWEEN(1,5))</f>
        <v>UPI</v>
      </c>
    </row>
    <row r="30" spans="1:10" x14ac:dyDescent="0.3">
      <c r="A30" t="str">
        <f t="shared" si="1"/>
        <v>O0029</v>
      </c>
      <c r="B30" s="6">
        <f ca="1">Orders[[#This Row],[Discount%]]</f>
        <v>0.19</v>
      </c>
      <c r="C30" t="str" cm="1">
        <f t="array" aca="1" ref="C30" ca="1">INDEX(Customers[Customer ID],RANDBETWEEN(1,200))</f>
        <v>C059</v>
      </c>
      <c r="D30" t="str" cm="1">
        <f t="array" aca="1" ref="D30" ca="1">INDEX(Products[Product ID],RANDBETWEEN(1,50))</f>
        <v>P036</v>
      </c>
      <c r="E30" t="str" cm="1">
        <f t="array" aca="1" ref="E30" ca="1">INDEX(Warehouses[Warehouse ID],RANDBETWEEN(1,8))</f>
        <v>W006</v>
      </c>
      <c r="F30">
        <f t="shared" ca="1" si="0"/>
        <v>9</v>
      </c>
      <c r="G30">
        <f ca="1">_xlfn.XLOOKUP(Orders[[#This Row],[Product ID]],Products[Product ID],Products[Selling Price])</f>
        <v>450</v>
      </c>
      <c r="H30" s="6">
        <f t="shared" ca="1" si="2"/>
        <v>0.19</v>
      </c>
      <c r="I30">
        <f ca="1">Orders[[#This Row],[Quantity]]*Orders[[#This Row],[Unit Price]]*(1-Orders[[#This Row],[Discount%]])</f>
        <v>3280.5</v>
      </c>
      <c r="J30" t="str" cm="1">
        <f t="array" aca="1" ref="J30" ca="1">INDEX(PaymentMethods[Payment Method],RANDBETWEEN(1,5))</f>
        <v>UPI</v>
      </c>
    </row>
    <row r="31" spans="1:10" x14ac:dyDescent="0.3">
      <c r="A31" t="str">
        <f t="shared" si="1"/>
        <v>O0030</v>
      </c>
      <c r="B31" s="6">
        <f ca="1">Orders[[#This Row],[Discount%]]</f>
        <v>0.13</v>
      </c>
      <c r="C31" t="str" cm="1">
        <f t="array" aca="1" ref="C31" ca="1">INDEX(Customers[Customer ID],RANDBETWEEN(1,200))</f>
        <v>C057</v>
      </c>
      <c r="D31" t="str" cm="1">
        <f t="array" aca="1" ref="D31" ca="1">INDEX(Products[Product ID],RANDBETWEEN(1,50))</f>
        <v>P016</v>
      </c>
      <c r="E31" t="str" cm="1">
        <f t="array" aca="1" ref="E31" ca="1">INDEX(Warehouses[Warehouse ID],RANDBETWEEN(1,8))</f>
        <v>W004</v>
      </c>
      <c r="F31">
        <f t="shared" ca="1" si="0"/>
        <v>8</v>
      </c>
      <c r="G31">
        <f ca="1">_xlfn.XLOOKUP(Orders[[#This Row],[Product ID]],Products[Product ID],Products[Selling Price])</f>
        <v>2500</v>
      </c>
      <c r="H31" s="6">
        <f t="shared" ca="1" si="2"/>
        <v>0.13</v>
      </c>
      <c r="I31">
        <f ca="1">Orders[[#This Row],[Quantity]]*Orders[[#This Row],[Unit Price]]*(1-Orders[[#This Row],[Discount%]])</f>
        <v>17400</v>
      </c>
      <c r="J31" t="str" cm="1">
        <f t="array" aca="1" ref="J31" ca="1">INDEX(PaymentMethods[Payment Method],RANDBETWEEN(1,5))</f>
        <v>Cash</v>
      </c>
    </row>
    <row r="32" spans="1:10" x14ac:dyDescent="0.3">
      <c r="A32" t="str">
        <f t="shared" si="1"/>
        <v>O0031</v>
      </c>
      <c r="B32" s="6">
        <f ca="1">Orders[[#This Row],[Discount%]]</f>
        <v>0.09</v>
      </c>
      <c r="C32" t="str" cm="1">
        <f t="array" aca="1" ref="C32" ca="1">INDEX(Customers[Customer ID],RANDBETWEEN(1,200))</f>
        <v>C173</v>
      </c>
      <c r="D32" t="str" cm="1">
        <f t="array" aca="1" ref="D32" ca="1">INDEX(Products[Product ID],RANDBETWEEN(1,50))</f>
        <v>P009</v>
      </c>
      <c r="E32" t="str" cm="1">
        <f t="array" aca="1" ref="E32" ca="1">INDEX(Warehouses[Warehouse ID],RANDBETWEEN(1,8))</f>
        <v>W008</v>
      </c>
      <c r="F32">
        <f t="shared" ca="1" si="0"/>
        <v>8</v>
      </c>
      <c r="G32">
        <f ca="1">_xlfn.XLOOKUP(Orders[[#This Row],[Product ID]],Products[Product ID],Products[Selling Price])</f>
        <v>20000</v>
      </c>
      <c r="H32" s="6">
        <f t="shared" ca="1" si="2"/>
        <v>0.09</v>
      </c>
      <c r="I32">
        <f ca="1">Orders[[#This Row],[Quantity]]*Orders[[#This Row],[Unit Price]]*(1-Orders[[#This Row],[Discount%]])</f>
        <v>145600</v>
      </c>
      <c r="J32" t="str" cm="1">
        <f t="array" aca="1" ref="J32" ca="1">INDEX(PaymentMethods[Payment Method],RANDBETWEEN(1,5))</f>
        <v>Cash</v>
      </c>
    </row>
    <row r="33" spans="1:10" x14ac:dyDescent="0.3">
      <c r="A33" t="str">
        <f t="shared" si="1"/>
        <v>O0032</v>
      </c>
      <c r="B33" s="6">
        <f ca="1">Orders[[#This Row],[Discount%]]</f>
        <v>0.01</v>
      </c>
      <c r="C33" t="str" cm="1">
        <f t="array" aca="1" ref="C33" ca="1">INDEX(Customers[Customer ID],RANDBETWEEN(1,200))</f>
        <v>C033</v>
      </c>
      <c r="D33" t="str" cm="1">
        <f t="array" aca="1" ref="D33" ca="1">INDEX(Products[Product ID],RANDBETWEEN(1,50))</f>
        <v>P038</v>
      </c>
      <c r="E33" t="str" cm="1">
        <f t="array" aca="1" ref="E33" ca="1">INDEX(Warehouses[Warehouse ID],RANDBETWEEN(1,8))</f>
        <v>W003</v>
      </c>
      <c r="F33">
        <f t="shared" ca="1" si="0"/>
        <v>8</v>
      </c>
      <c r="G33">
        <f ca="1">_xlfn.XLOOKUP(Orders[[#This Row],[Product ID]],Products[Product ID],Products[Selling Price])</f>
        <v>1500</v>
      </c>
      <c r="H33" s="6">
        <f t="shared" ca="1" si="2"/>
        <v>0.01</v>
      </c>
      <c r="I33">
        <f ca="1">Orders[[#This Row],[Quantity]]*Orders[[#This Row],[Unit Price]]*(1-Orders[[#This Row],[Discount%]])</f>
        <v>11880</v>
      </c>
      <c r="J33" t="str" cm="1">
        <f t="array" aca="1" ref="J33" ca="1">INDEX(PaymentMethods[Payment Method],RANDBETWEEN(1,5))</f>
        <v>Net Banking</v>
      </c>
    </row>
    <row r="34" spans="1:10" x14ac:dyDescent="0.3">
      <c r="A34" t="str">
        <f t="shared" si="1"/>
        <v>O0033</v>
      </c>
      <c r="B34" s="6">
        <f ca="1">Orders[[#This Row],[Discount%]]</f>
        <v>0.18</v>
      </c>
      <c r="C34" t="str" cm="1">
        <f t="array" aca="1" ref="C34" ca="1">INDEX(Customers[Customer ID],RANDBETWEEN(1,200))</f>
        <v>C009</v>
      </c>
      <c r="D34" t="str" cm="1">
        <f t="array" aca="1" ref="D34" ca="1">INDEX(Products[Product ID],RANDBETWEEN(1,50))</f>
        <v>P039</v>
      </c>
      <c r="E34" t="str" cm="1">
        <f t="array" aca="1" ref="E34" ca="1">INDEX(Warehouses[Warehouse ID],RANDBETWEEN(1,8))</f>
        <v>W003</v>
      </c>
      <c r="F34">
        <f t="shared" ca="1" si="0"/>
        <v>1</v>
      </c>
      <c r="G34">
        <f ca="1">_xlfn.XLOOKUP(Orders[[#This Row],[Product ID]],Products[Product ID],Products[Selling Price])</f>
        <v>250</v>
      </c>
      <c r="H34" s="6">
        <f t="shared" ca="1" si="2"/>
        <v>0.18</v>
      </c>
      <c r="I34">
        <f ca="1">Orders[[#This Row],[Quantity]]*Orders[[#This Row],[Unit Price]]*(1-Orders[[#This Row],[Discount%]])</f>
        <v>205.00000000000003</v>
      </c>
      <c r="J34" t="str" cm="1">
        <f t="array" aca="1" ref="J34" ca="1">INDEX(PaymentMethods[Payment Method],RANDBETWEEN(1,5))</f>
        <v>Debit Card</v>
      </c>
    </row>
    <row r="35" spans="1:10" x14ac:dyDescent="0.3">
      <c r="A35" t="str">
        <f t="shared" si="1"/>
        <v>O0034</v>
      </c>
      <c r="B35" s="6">
        <f ca="1">Orders[[#This Row],[Discount%]]</f>
        <v>0.08</v>
      </c>
      <c r="C35" t="str" cm="1">
        <f t="array" aca="1" ref="C35" ca="1">INDEX(Customers[Customer ID],RANDBETWEEN(1,200))</f>
        <v>C085</v>
      </c>
      <c r="D35" t="str" cm="1">
        <f t="array" aca="1" ref="D35" ca="1">INDEX(Products[Product ID],RANDBETWEEN(1,50))</f>
        <v>P037</v>
      </c>
      <c r="E35" t="str" cm="1">
        <f t="array" aca="1" ref="E35" ca="1">INDEX(Warehouses[Warehouse ID],RANDBETWEEN(1,8))</f>
        <v>W001</v>
      </c>
      <c r="F35">
        <f t="shared" ca="1" si="0"/>
        <v>7</v>
      </c>
      <c r="G35">
        <f ca="1">_xlfn.XLOOKUP(Orders[[#This Row],[Product ID]],Products[Product ID],Products[Selling Price])</f>
        <v>550</v>
      </c>
      <c r="H35" s="6">
        <f t="shared" ca="1" si="2"/>
        <v>0.08</v>
      </c>
      <c r="I35">
        <f ca="1">Orders[[#This Row],[Quantity]]*Orders[[#This Row],[Unit Price]]*(1-Orders[[#This Row],[Discount%]])</f>
        <v>3542</v>
      </c>
      <c r="J35" t="str" cm="1">
        <f t="array" aca="1" ref="J35" ca="1">INDEX(PaymentMethods[Payment Method],RANDBETWEEN(1,5))</f>
        <v>UPI</v>
      </c>
    </row>
    <row r="36" spans="1:10" x14ac:dyDescent="0.3">
      <c r="A36" t="str">
        <f t="shared" si="1"/>
        <v>O0035</v>
      </c>
      <c r="B36" s="6">
        <f ca="1">Orders[[#This Row],[Discount%]]</f>
        <v>0.18</v>
      </c>
      <c r="C36" t="str" cm="1">
        <f t="array" aca="1" ref="C36" ca="1">INDEX(Customers[Customer ID],RANDBETWEEN(1,200))</f>
        <v>C200</v>
      </c>
      <c r="D36" t="str" cm="1">
        <f t="array" aca="1" ref="D36" ca="1">INDEX(Products[Product ID],RANDBETWEEN(1,50))</f>
        <v>P039</v>
      </c>
      <c r="E36" t="str" cm="1">
        <f t="array" aca="1" ref="E36" ca="1">INDEX(Warehouses[Warehouse ID],RANDBETWEEN(1,8))</f>
        <v>W002</v>
      </c>
      <c r="F36">
        <f t="shared" ca="1" si="0"/>
        <v>7</v>
      </c>
      <c r="G36">
        <f ca="1">_xlfn.XLOOKUP(Orders[[#This Row],[Product ID]],Products[Product ID],Products[Selling Price])</f>
        <v>250</v>
      </c>
      <c r="H36" s="6">
        <f t="shared" ca="1" si="2"/>
        <v>0.18</v>
      </c>
      <c r="I36">
        <f ca="1">Orders[[#This Row],[Quantity]]*Orders[[#This Row],[Unit Price]]*(1-Orders[[#This Row],[Discount%]])</f>
        <v>1435</v>
      </c>
      <c r="J36" t="str" cm="1">
        <f t="array" aca="1" ref="J36" ca="1">INDEX(PaymentMethods[Payment Method],RANDBETWEEN(1,5))</f>
        <v>Debit Card</v>
      </c>
    </row>
    <row r="37" spans="1:10" x14ac:dyDescent="0.3">
      <c r="A37" t="str">
        <f t="shared" si="1"/>
        <v>O0036</v>
      </c>
      <c r="B37" s="6">
        <f ca="1">Orders[[#This Row],[Discount%]]</f>
        <v>0.2</v>
      </c>
      <c r="C37" t="str" cm="1">
        <f t="array" aca="1" ref="C37" ca="1">INDEX(Customers[Customer ID],RANDBETWEEN(1,200))</f>
        <v>C178</v>
      </c>
      <c r="D37" t="str" cm="1">
        <f t="array" aca="1" ref="D37" ca="1">INDEX(Products[Product ID],RANDBETWEEN(1,50))</f>
        <v>P023</v>
      </c>
      <c r="E37" t="str" cm="1">
        <f t="array" aca="1" ref="E37" ca="1">INDEX(Warehouses[Warehouse ID],RANDBETWEEN(1,8))</f>
        <v>W001</v>
      </c>
      <c r="F37">
        <f t="shared" ca="1" si="0"/>
        <v>9</v>
      </c>
      <c r="G37">
        <f ca="1">_xlfn.XLOOKUP(Orders[[#This Row],[Product ID]],Products[Product ID],Products[Selling Price])</f>
        <v>2300</v>
      </c>
      <c r="H37" s="6">
        <f t="shared" ca="1" si="2"/>
        <v>0.2</v>
      </c>
      <c r="I37">
        <f ca="1">Orders[[#This Row],[Quantity]]*Orders[[#This Row],[Unit Price]]*(1-Orders[[#This Row],[Discount%]])</f>
        <v>16560</v>
      </c>
      <c r="J37" t="str" cm="1">
        <f t="array" aca="1" ref="J37" ca="1">INDEX(PaymentMethods[Payment Method],RANDBETWEEN(1,5))</f>
        <v>UPI</v>
      </c>
    </row>
    <row r="38" spans="1:10" x14ac:dyDescent="0.3">
      <c r="A38" t="str">
        <f t="shared" si="1"/>
        <v>O0037</v>
      </c>
      <c r="B38" s="6">
        <f ca="1">Orders[[#This Row],[Discount%]]</f>
        <v>0.05</v>
      </c>
      <c r="C38" t="str" cm="1">
        <f t="array" aca="1" ref="C38" ca="1">INDEX(Customers[Customer ID],RANDBETWEEN(1,200))</f>
        <v>C065</v>
      </c>
      <c r="D38" t="str" cm="1">
        <f t="array" aca="1" ref="D38" ca="1">INDEX(Products[Product ID],RANDBETWEEN(1,50))</f>
        <v>P028</v>
      </c>
      <c r="E38" t="str" cm="1">
        <f t="array" aca="1" ref="E38" ca="1">INDEX(Warehouses[Warehouse ID],RANDBETWEEN(1,8))</f>
        <v>W006</v>
      </c>
      <c r="F38">
        <f t="shared" ca="1" si="0"/>
        <v>1</v>
      </c>
      <c r="G38">
        <f ca="1">_xlfn.XLOOKUP(Orders[[#This Row],[Product ID]],Products[Product ID],Products[Selling Price])</f>
        <v>16500</v>
      </c>
      <c r="H38" s="6">
        <f t="shared" ca="1" si="2"/>
        <v>0.05</v>
      </c>
      <c r="I38">
        <f ca="1">Orders[[#This Row],[Quantity]]*Orders[[#This Row],[Unit Price]]*(1-Orders[[#This Row],[Discount%]])</f>
        <v>15675</v>
      </c>
      <c r="J38" t="str" cm="1">
        <f t="array" aca="1" ref="J38" ca="1">INDEX(PaymentMethods[Payment Method],RANDBETWEEN(1,5))</f>
        <v>Credit Card</v>
      </c>
    </row>
    <row r="39" spans="1:10" x14ac:dyDescent="0.3">
      <c r="A39" t="str">
        <f t="shared" si="1"/>
        <v>O0038</v>
      </c>
      <c r="B39" s="6">
        <f ca="1">Orders[[#This Row],[Discount%]]</f>
        <v>0</v>
      </c>
      <c r="C39" t="str" cm="1">
        <f t="array" aca="1" ref="C39" ca="1">INDEX(Customers[Customer ID],RANDBETWEEN(1,200))</f>
        <v>C069</v>
      </c>
      <c r="D39" t="str" cm="1">
        <f t="array" aca="1" ref="D39" ca="1">INDEX(Products[Product ID],RANDBETWEEN(1,50))</f>
        <v>P039</v>
      </c>
      <c r="E39" t="str" cm="1">
        <f t="array" aca="1" ref="E39" ca="1">INDEX(Warehouses[Warehouse ID],RANDBETWEEN(1,8))</f>
        <v>W004</v>
      </c>
      <c r="F39">
        <f t="shared" ca="1" si="0"/>
        <v>9</v>
      </c>
      <c r="G39">
        <f ca="1">_xlfn.XLOOKUP(Orders[[#This Row],[Product ID]],Products[Product ID],Products[Selling Price])</f>
        <v>250</v>
      </c>
      <c r="H39" s="6">
        <f t="shared" ca="1" si="2"/>
        <v>0</v>
      </c>
      <c r="I39">
        <f ca="1">Orders[[#This Row],[Quantity]]*Orders[[#This Row],[Unit Price]]*(1-Orders[[#This Row],[Discount%]])</f>
        <v>2250</v>
      </c>
      <c r="J39" t="str" cm="1">
        <f t="array" aca="1" ref="J39" ca="1">INDEX(PaymentMethods[Payment Method],RANDBETWEEN(1,5))</f>
        <v>Net Banking</v>
      </c>
    </row>
    <row r="40" spans="1:10" x14ac:dyDescent="0.3">
      <c r="A40" t="str">
        <f t="shared" si="1"/>
        <v>O0039</v>
      </c>
      <c r="B40" s="6">
        <f ca="1">Orders[[#This Row],[Discount%]]</f>
        <v>0.12</v>
      </c>
      <c r="C40" t="str" cm="1">
        <f t="array" aca="1" ref="C40" ca="1">INDEX(Customers[Customer ID],RANDBETWEEN(1,200))</f>
        <v>C038</v>
      </c>
      <c r="D40" t="str" cm="1">
        <f t="array" aca="1" ref="D40" ca="1">INDEX(Products[Product ID],RANDBETWEEN(1,50))</f>
        <v>P046</v>
      </c>
      <c r="E40" t="str" cm="1">
        <f t="array" aca="1" ref="E40" ca="1">INDEX(Warehouses[Warehouse ID],RANDBETWEEN(1,8))</f>
        <v>W004</v>
      </c>
      <c r="F40">
        <f t="shared" ca="1" si="0"/>
        <v>3</v>
      </c>
      <c r="G40">
        <f ca="1">_xlfn.XLOOKUP(Orders[[#This Row],[Product ID]],Products[Product ID],Products[Selling Price])</f>
        <v>2500</v>
      </c>
      <c r="H40" s="6">
        <f t="shared" ca="1" si="2"/>
        <v>0.12</v>
      </c>
      <c r="I40">
        <f ca="1">Orders[[#This Row],[Quantity]]*Orders[[#This Row],[Unit Price]]*(1-Orders[[#This Row],[Discount%]])</f>
        <v>6600</v>
      </c>
      <c r="J40" t="str" cm="1">
        <f t="array" aca="1" ref="J40" ca="1">INDEX(PaymentMethods[Payment Method],RANDBETWEEN(1,5))</f>
        <v>Credit Card</v>
      </c>
    </row>
    <row r="41" spans="1:10" x14ac:dyDescent="0.3">
      <c r="A41" t="str">
        <f t="shared" si="1"/>
        <v>O0040</v>
      </c>
      <c r="B41" s="6">
        <f ca="1">Orders[[#This Row],[Discount%]]</f>
        <v>0.2</v>
      </c>
      <c r="C41" t="str" cm="1">
        <f t="array" aca="1" ref="C41" ca="1">INDEX(Customers[Customer ID],RANDBETWEEN(1,200))</f>
        <v>C030</v>
      </c>
      <c r="D41" t="str" cm="1">
        <f t="array" aca="1" ref="D41" ca="1">INDEX(Products[Product ID],RANDBETWEEN(1,50))</f>
        <v>P029</v>
      </c>
      <c r="E41" t="str" cm="1">
        <f t="array" aca="1" ref="E41" ca="1">INDEX(Warehouses[Warehouse ID],RANDBETWEEN(1,8))</f>
        <v>W003</v>
      </c>
      <c r="F41">
        <f t="shared" ca="1" si="0"/>
        <v>7</v>
      </c>
      <c r="G41">
        <f ca="1">_xlfn.XLOOKUP(Orders[[#This Row],[Product ID]],Products[Product ID],Products[Selling Price])</f>
        <v>3200</v>
      </c>
      <c r="H41" s="6">
        <f t="shared" ca="1" si="2"/>
        <v>0.2</v>
      </c>
      <c r="I41">
        <f ca="1">Orders[[#This Row],[Quantity]]*Orders[[#This Row],[Unit Price]]*(1-Orders[[#This Row],[Discount%]])</f>
        <v>17920</v>
      </c>
      <c r="J41" t="str" cm="1">
        <f t="array" aca="1" ref="J41" ca="1">INDEX(PaymentMethods[Payment Method],RANDBETWEEN(1,5))</f>
        <v>Debit Card</v>
      </c>
    </row>
    <row r="42" spans="1:10" x14ac:dyDescent="0.3">
      <c r="A42" t="str">
        <f t="shared" si="1"/>
        <v>O0041</v>
      </c>
      <c r="B42" s="6">
        <f ca="1">Orders[[#This Row],[Discount%]]</f>
        <v>0.19</v>
      </c>
      <c r="C42" t="str" cm="1">
        <f t="array" aca="1" ref="C42" ca="1">INDEX(Customers[Customer ID],RANDBETWEEN(1,200))</f>
        <v>C015</v>
      </c>
      <c r="D42" t="str" cm="1">
        <f t="array" aca="1" ref="D42" ca="1">INDEX(Products[Product ID],RANDBETWEEN(1,50))</f>
        <v>P027</v>
      </c>
      <c r="E42" t="str" cm="1">
        <f t="array" aca="1" ref="E42" ca="1">INDEX(Warehouses[Warehouse ID],RANDBETWEEN(1,8))</f>
        <v>W004</v>
      </c>
      <c r="F42">
        <f t="shared" ca="1" si="0"/>
        <v>4</v>
      </c>
      <c r="G42">
        <f ca="1">_xlfn.XLOOKUP(Orders[[#This Row],[Product ID]],Products[Product ID],Products[Selling Price])</f>
        <v>4000</v>
      </c>
      <c r="H42" s="6">
        <f t="shared" ca="1" si="2"/>
        <v>0.19</v>
      </c>
      <c r="I42">
        <f ca="1">Orders[[#This Row],[Quantity]]*Orders[[#This Row],[Unit Price]]*(1-Orders[[#This Row],[Discount%]])</f>
        <v>12960</v>
      </c>
      <c r="J42" t="str" cm="1">
        <f t="array" aca="1" ref="J42" ca="1">INDEX(PaymentMethods[Payment Method],RANDBETWEEN(1,5))</f>
        <v>Credit Card</v>
      </c>
    </row>
    <row r="43" spans="1:10" x14ac:dyDescent="0.3">
      <c r="A43" t="str">
        <f t="shared" si="1"/>
        <v>O0042</v>
      </c>
      <c r="B43" s="6">
        <f ca="1">Orders[[#This Row],[Discount%]]</f>
        <v>0.11</v>
      </c>
      <c r="C43" t="str" cm="1">
        <f t="array" aca="1" ref="C43" ca="1">INDEX(Customers[Customer ID],RANDBETWEEN(1,200))</f>
        <v>C080</v>
      </c>
      <c r="D43" t="str" cm="1">
        <f t="array" aca="1" ref="D43" ca="1">INDEX(Products[Product ID],RANDBETWEEN(1,50))</f>
        <v>P039</v>
      </c>
      <c r="E43" t="str" cm="1">
        <f t="array" aca="1" ref="E43" ca="1">INDEX(Warehouses[Warehouse ID],RANDBETWEEN(1,8))</f>
        <v>W006</v>
      </c>
      <c r="F43">
        <f t="shared" ca="1" si="0"/>
        <v>6</v>
      </c>
      <c r="G43">
        <f ca="1">_xlfn.XLOOKUP(Orders[[#This Row],[Product ID]],Products[Product ID],Products[Selling Price])</f>
        <v>250</v>
      </c>
      <c r="H43" s="6">
        <f t="shared" ca="1" si="2"/>
        <v>0.11</v>
      </c>
      <c r="I43">
        <f ca="1">Orders[[#This Row],[Quantity]]*Orders[[#This Row],[Unit Price]]*(1-Orders[[#This Row],[Discount%]])</f>
        <v>1335</v>
      </c>
      <c r="J43" t="str" cm="1">
        <f t="array" aca="1" ref="J43" ca="1">INDEX(PaymentMethods[Payment Method],RANDBETWEEN(1,5))</f>
        <v>UPI</v>
      </c>
    </row>
    <row r="44" spans="1:10" x14ac:dyDescent="0.3">
      <c r="A44" t="str">
        <f t="shared" si="1"/>
        <v>O0043</v>
      </c>
      <c r="B44" s="6">
        <f ca="1">Orders[[#This Row],[Discount%]]</f>
        <v>0.2</v>
      </c>
      <c r="C44" t="str" cm="1">
        <f t="array" aca="1" ref="C44" ca="1">INDEX(Customers[Customer ID],RANDBETWEEN(1,200))</f>
        <v>C108</v>
      </c>
      <c r="D44" t="str" cm="1">
        <f t="array" aca="1" ref="D44" ca="1">INDEX(Products[Product ID],RANDBETWEEN(1,50))</f>
        <v>P004</v>
      </c>
      <c r="E44" t="str" cm="1">
        <f t="array" aca="1" ref="E44" ca="1">INDEX(Warehouses[Warehouse ID],RANDBETWEEN(1,8))</f>
        <v>W008</v>
      </c>
      <c r="F44">
        <f t="shared" ca="1" si="0"/>
        <v>1</v>
      </c>
      <c r="G44">
        <f ca="1">_xlfn.XLOOKUP(Orders[[#This Row],[Product ID]],Products[Product ID],Products[Selling Price])</f>
        <v>9000</v>
      </c>
      <c r="H44" s="6">
        <f t="shared" ca="1" si="2"/>
        <v>0.2</v>
      </c>
      <c r="I44">
        <f ca="1">Orders[[#This Row],[Quantity]]*Orders[[#This Row],[Unit Price]]*(1-Orders[[#This Row],[Discount%]])</f>
        <v>7200</v>
      </c>
      <c r="J44" t="str" cm="1">
        <f t="array" aca="1" ref="J44" ca="1">INDEX(PaymentMethods[Payment Method],RANDBETWEEN(1,5))</f>
        <v>Debit Card</v>
      </c>
    </row>
    <row r="45" spans="1:10" x14ac:dyDescent="0.3">
      <c r="A45" t="str">
        <f t="shared" si="1"/>
        <v>O0044</v>
      </c>
      <c r="B45" s="6">
        <f ca="1">Orders[[#This Row],[Discount%]]</f>
        <v>0.02</v>
      </c>
      <c r="C45" t="str" cm="1">
        <f t="array" aca="1" ref="C45" ca="1">INDEX(Customers[Customer ID],RANDBETWEEN(1,200))</f>
        <v>C118</v>
      </c>
      <c r="D45" t="str" cm="1">
        <f t="array" aca="1" ref="D45" ca="1">INDEX(Products[Product ID],RANDBETWEEN(1,50))</f>
        <v>P042</v>
      </c>
      <c r="E45" t="str" cm="1">
        <f t="array" aca="1" ref="E45" ca="1">INDEX(Warehouses[Warehouse ID],RANDBETWEEN(1,8))</f>
        <v>W004</v>
      </c>
      <c r="F45">
        <f t="shared" ca="1" si="0"/>
        <v>1</v>
      </c>
      <c r="G45">
        <f ca="1">_xlfn.XLOOKUP(Orders[[#This Row],[Product ID]],Products[Product ID],Products[Selling Price])</f>
        <v>29000</v>
      </c>
      <c r="H45" s="6">
        <f t="shared" ca="1" si="2"/>
        <v>0.02</v>
      </c>
      <c r="I45">
        <f ca="1">Orders[[#This Row],[Quantity]]*Orders[[#This Row],[Unit Price]]*(1-Orders[[#This Row],[Discount%]])</f>
        <v>28420</v>
      </c>
      <c r="J45" t="str" cm="1">
        <f t="array" aca="1" ref="J45" ca="1">INDEX(PaymentMethods[Payment Method],RANDBETWEEN(1,5))</f>
        <v>UPI</v>
      </c>
    </row>
    <row r="46" spans="1:10" x14ac:dyDescent="0.3">
      <c r="A46" t="str">
        <f t="shared" si="1"/>
        <v>O0045</v>
      </c>
      <c r="B46" s="6">
        <f ca="1">Orders[[#This Row],[Discount%]]</f>
        <v>0.18</v>
      </c>
      <c r="C46" t="str" cm="1">
        <f t="array" aca="1" ref="C46" ca="1">INDEX(Customers[Customer ID],RANDBETWEEN(1,200))</f>
        <v>C167</v>
      </c>
      <c r="D46" t="str" cm="1">
        <f t="array" aca="1" ref="D46" ca="1">INDEX(Products[Product ID],RANDBETWEEN(1,50))</f>
        <v>P011</v>
      </c>
      <c r="E46" t="str" cm="1">
        <f t="array" aca="1" ref="E46" ca="1">INDEX(Warehouses[Warehouse ID],RANDBETWEEN(1,8))</f>
        <v>W005</v>
      </c>
      <c r="F46">
        <f t="shared" ca="1" si="0"/>
        <v>6</v>
      </c>
      <c r="G46">
        <f ca="1">_xlfn.XLOOKUP(Orders[[#This Row],[Product ID]],Products[Product ID],Products[Selling Price])</f>
        <v>1200</v>
      </c>
      <c r="H46" s="6">
        <f t="shared" ca="1" si="2"/>
        <v>0.18</v>
      </c>
      <c r="I46">
        <f ca="1">Orders[[#This Row],[Quantity]]*Orders[[#This Row],[Unit Price]]*(1-Orders[[#This Row],[Discount%]])</f>
        <v>5904</v>
      </c>
      <c r="J46" t="str" cm="1">
        <f t="array" aca="1" ref="J46" ca="1">INDEX(PaymentMethods[Payment Method],RANDBETWEEN(1,5))</f>
        <v>Net Banking</v>
      </c>
    </row>
    <row r="47" spans="1:10" x14ac:dyDescent="0.3">
      <c r="A47" t="str">
        <f t="shared" si="1"/>
        <v>O0046</v>
      </c>
      <c r="B47" s="6">
        <f ca="1">Orders[[#This Row],[Discount%]]</f>
        <v>0.15</v>
      </c>
      <c r="C47" t="str" cm="1">
        <f t="array" aca="1" ref="C47" ca="1">INDEX(Customers[Customer ID],RANDBETWEEN(1,200))</f>
        <v>C139</v>
      </c>
      <c r="D47" t="str" cm="1">
        <f t="array" aca="1" ref="D47" ca="1">INDEX(Products[Product ID],RANDBETWEEN(1,50))</f>
        <v>P002</v>
      </c>
      <c r="E47" t="str" cm="1">
        <f t="array" aca="1" ref="E47" ca="1">INDEX(Warehouses[Warehouse ID],RANDBETWEEN(1,8))</f>
        <v>W008</v>
      </c>
      <c r="F47">
        <f t="shared" ca="1" si="0"/>
        <v>9</v>
      </c>
      <c r="G47">
        <f ca="1">_xlfn.XLOOKUP(Orders[[#This Row],[Product ID]],Products[Product ID],Products[Selling Price])</f>
        <v>550</v>
      </c>
      <c r="H47" s="6">
        <f t="shared" ca="1" si="2"/>
        <v>0.15</v>
      </c>
      <c r="I47">
        <f ca="1">Orders[[#This Row],[Quantity]]*Orders[[#This Row],[Unit Price]]*(1-Orders[[#This Row],[Discount%]])</f>
        <v>4207.5</v>
      </c>
      <c r="J47" t="str" cm="1">
        <f t="array" aca="1" ref="J47" ca="1">INDEX(PaymentMethods[Payment Method],RANDBETWEEN(1,5))</f>
        <v>Credit Card</v>
      </c>
    </row>
    <row r="48" spans="1:10" x14ac:dyDescent="0.3">
      <c r="A48" t="str">
        <f t="shared" si="1"/>
        <v>O0047</v>
      </c>
      <c r="B48" s="6">
        <f ca="1">Orders[[#This Row],[Discount%]]</f>
        <v>0.05</v>
      </c>
      <c r="C48" t="str" cm="1">
        <f t="array" aca="1" ref="C48" ca="1">INDEX(Customers[Customer ID],RANDBETWEEN(1,200))</f>
        <v>C011</v>
      </c>
      <c r="D48" t="str" cm="1">
        <f t="array" aca="1" ref="D48" ca="1">INDEX(Products[Product ID],RANDBETWEEN(1,50))</f>
        <v>P040</v>
      </c>
      <c r="E48" t="str" cm="1">
        <f t="array" aca="1" ref="E48" ca="1">INDEX(Warehouses[Warehouse ID],RANDBETWEEN(1,8))</f>
        <v>W005</v>
      </c>
      <c r="F48">
        <f t="shared" ca="1" si="0"/>
        <v>10</v>
      </c>
      <c r="G48">
        <f ca="1">_xlfn.XLOOKUP(Orders[[#This Row],[Product ID]],Products[Product ID],Products[Selling Price])</f>
        <v>180</v>
      </c>
      <c r="H48" s="6">
        <f t="shared" ca="1" si="2"/>
        <v>0.05</v>
      </c>
      <c r="I48">
        <f ca="1">Orders[[#This Row],[Quantity]]*Orders[[#This Row],[Unit Price]]*(1-Orders[[#This Row],[Discount%]])</f>
        <v>1710</v>
      </c>
      <c r="J48" t="str" cm="1">
        <f t="array" aca="1" ref="J48" ca="1">INDEX(PaymentMethods[Payment Method],RANDBETWEEN(1,5))</f>
        <v>Cash</v>
      </c>
    </row>
    <row r="49" spans="1:10" x14ac:dyDescent="0.3">
      <c r="A49" t="str">
        <f t="shared" si="1"/>
        <v>O0048</v>
      </c>
      <c r="B49" s="6">
        <f ca="1">Orders[[#This Row],[Discount%]]</f>
        <v>0.05</v>
      </c>
      <c r="C49" t="str" cm="1">
        <f t="array" aca="1" ref="C49" ca="1">INDEX(Customers[Customer ID],RANDBETWEEN(1,200))</f>
        <v>C178</v>
      </c>
      <c r="D49" t="str" cm="1">
        <f t="array" aca="1" ref="D49" ca="1">INDEX(Products[Product ID],RANDBETWEEN(1,50))</f>
        <v>P028</v>
      </c>
      <c r="E49" t="str" cm="1">
        <f t="array" aca="1" ref="E49" ca="1">INDEX(Warehouses[Warehouse ID],RANDBETWEEN(1,8))</f>
        <v>W004</v>
      </c>
      <c r="F49">
        <f t="shared" ca="1" si="0"/>
        <v>6</v>
      </c>
      <c r="G49">
        <f ca="1">_xlfn.XLOOKUP(Orders[[#This Row],[Product ID]],Products[Product ID],Products[Selling Price])</f>
        <v>16500</v>
      </c>
      <c r="H49" s="6">
        <f t="shared" ca="1" si="2"/>
        <v>0.05</v>
      </c>
      <c r="I49">
        <f ca="1">Orders[[#This Row],[Quantity]]*Orders[[#This Row],[Unit Price]]*(1-Orders[[#This Row],[Discount%]])</f>
        <v>94050</v>
      </c>
      <c r="J49" t="str" cm="1">
        <f t="array" aca="1" ref="J49" ca="1">INDEX(PaymentMethods[Payment Method],RANDBETWEEN(1,5))</f>
        <v>Credit Card</v>
      </c>
    </row>
    <row r="50" spans="1:10" x14ac:dyDescent="0.3">
      <c r="A50" t="str">
        <f t="shared" si="1"/>
        <v>O0049</v>
      </c>
      <c r="B50" s="6">
        <f ca="1">Orders[[#This Row],[Discount%]]</f>
        <v>0.14000000000000001</v>
      </c>
      <c r="C50" t="str" cm="1">
        <f t="array" aca="1" ref="C50" ca="1">INDEX(Customers[Customer ID],RANDBETWEEN(1,200))</f>
        <v>C095</v>
      </c>
      <c r="D50" t="str" cm="1">
        <f t="array" aca="1" ref="D50" ca="1">INDEX(Products[Product ID],RANDBETWEEN(1,50))</f>
        <v>P018</v>
      </c>
      <c r="E50" t="str" cm="1">
        <f t="array" aca="1" ref="E50" ca="1">INDEX(Warehouses[Warehouse ID],RANDBETWEEN(1,8))</f>
        <v>W003</v>
      </c>
      <c r="F50">
        <f t="shared" ca="1" si="0"/>
        <v>5</v>
      </c>
      <c r="G50">
        <f ca="1">_xlfn.XLOOKUP(Orders[[#This Row],[Product ID]],Products[Product ID],Products[Selling Price])</f>
        <v>1500</v>
      </c>
      <c r="H50" s="6">
        <f t="shared" ca="1" si="2"/>
        <v>0.14000000000000001</v>
      </c>
      <c r="I50">
        <f ca="1">Orders[[#This Row],[Quantity]]*Orders[[#This Row],[Unit Price]]*(1-Orders[[#This Row],[Discount%]])</f>
        <v>6450</v>
      </c>
      <c r="J50" t="str" cm="1">
        <f t="array" aca="1" ref="J50" ca="1">INDEX(PaymentMethods[Payment Method],RANDBETWEEN(1,5))</f>
        <v>Debit Card</v>
      </c>
    </row>
    <row r="51" spans="1:10" x14ac:dyDescent="0.3">
      <c r="A51" t="str">
        <f t="shared" si="1"/>
        <v>O0050</v>
      </c>
      <c r="B51" s="6">
        <f ca="1">Orders[[#This Row],[Discount%]]</f>
        <v>0.06</v>
      </c>
      <c r="C51" t="str" cm="1">
        <f t="array" aca="1" ref="C51" ca="1">INDEX(Customers[Customer ID],RANDBETWEEN(1,200))</f>
        <v>C022</v>
      </c>
      <c r="D51" t="str" cm="1">
        <f t="array" aca="1" ref="D51" ca="1">INDEX(Products[Product ID],RANDBETWEEN(1,50))</f>
        <v>P048</v>
      </c>
      <c r="E51" t="str" cm="1">
        <f t="array" aca="1" ref="E51" ca="1">INDEX(Warehouses[Warehouse ID],RANDBETWEEN(1,8))</f>
        <v>W005</v>
      </c>
      <c r="F51">
        <f t="shared" ca="1" si="0"/>
        <v>9</v>
      </c>
      <c r="G51">
        <f ca="1">_xlfn.XLOOKUP(Orders[[#This Row],[Product ID]],Products[Product ID],Products[Selling Price])</f>
        <v>1200</v>
      </c>
      <c r="H51" s="6">
        <f t="shared" ca="1" si="2"/>
        <v>0.06</v>
      </c>
      <c r="I51">
        <f ca="1">Orders[[#This Row],[Quantity]]*Orders[[#This Row],[Unit Price]]*(1-Orders[[#This Row],[Discount%]])</f>
        <v>10152</v>
      </c>
      <c r="J51" t="str" cm="1">
        <f t="array" aca="1" ref="J51" ca="1">INDEX(PaymentMethods[Payment Method],RANDBETWEEN(1,5))</f>
        <v>UPI</v>
      </c>
    </row>
    <row r="52" spans="1:10" x14ac:dyDescent="0.3">
      <c r="A52" t="str">
        <f t="shared" si="1"/>
        <v>O0051</v>
      </c>
      <c r="B52" s="6">
        <f ca="1">Orders[[#This Row],[Discount%]]</f>
        <v>0.16</v>
      </c>
      <c r="C52" t="str" cm="1">
        <f t="array" aca="1" ref="C52" ca="1">INDEX(Customers[Customer ID],RANDBETWEEN(1,200))</f>
        <v>C166</v>
      </c>
      <c r="D52" t="str" cm="1">
        <f t="array" aca="1" ref="D52" ca="1">INDEX(Products[Product ID],RANDBETWEEN(1,50))</f>
        <v>P020</v>
      </c>
      <c r="E52" t="str" cm="1">
        <f t="array" aca="1" ref="E52" ca="1">INDEX(Warehouses[Warehouse ID],RANDBETWEEN(1,8))</f>
        <v>W006</v>
      </c>
      <c r="F52">
        <f t="shared" ca="1" si="0"/>
        <v>2</v>
      </c>
      <c r="G52">
        <f ca="1">_xlfn.XLOOKUP(Orders[[#This Row],[Product ID]],Products[Product ID],Products[Selling Price])</f>
        <v>450</v>
      </c>
      <c r="H52" s="6">
        <f t="shared" ca="1" si="2"/>
        <v>0.16</v>
      </c>
      <c r="I52">
        <f ca="1">Orders[[#This Row],[Quantity]]*Orders[[#This Row],[Unit Price]]*(1-Orders[[#This Row],[Discount%]])</f>
        <v>756</v>
      </c>
      <c r="J52" t="str" cm="1">
        <f t="array" aca="1" ref="J52" ca="1">INDEX(PaymentMethods[Payment Method],RANDBETWEEN(1,5))</f>
        <v>Net Banking</v>
      </c>
    </row>
    <row r="53" spans="1:10" x14ac:dyDescent="0.3">
      <c r="A53" t="str">
        <f t="shared" si="1"/>
        <v>O0052</v>
      </c>
      <c r="B53" s="6">
        <f ca="1">Orders[[#This Row],[Discount%]]</f>
        <v>0.08</v>
      </c>
      <c r="C53" t="str" cm="1">
        <f t="array" aca="1" ref="C53" ca="1">INDEX(Customers[Customer ID],RANDBETWEEN(1,200))</f>
        <v>C050</v>
      </c>
      <c r="D53" t="str" cm="1">
        <f t="array" aca="1" ref="D53" ca="1">INDEX(Products[Product ID],RANDBETWEEN(1,50))</f>
        <v>P020</v>
      </c>
      <c r="E53" t="str" cm="1">
        <f t="array" aca="1" ref="E53" ca="1">INDEX(Warehouses[Warehouse ID],RANDBETWEEN(1,8))</f>
        <v>W008</v>
      </c>
      <c r="F53">
        <f t="shared" ca="1" si="0"/>
        <v>5</v>
      </c>
      <c r="G53">
        <f ca="1">_xlfn.XLOOKUP(Orders[[#This Row],[Product ID]],Products[Product ID],Products[Selling Price])</f>
        <v>450</v>
      </c>
      <c r="H53" s="6">
        <f t="shared" ca="1" si="2"/>
        <v>0.08</v>
      </c>
      <c r="I53">
        <f ca="1">Orders[[#This Row],[Quantity]]*Orders[[#This Row],[Unit Price]]*(1-Orders[[#This Row],[Discount%]])</f>
        <v>2070</v>
      </c>
      <c r="J53" t="str" cm="1">
        <f t="array" aca="1" ref="J53" ca="1">INDEX(PaymentMethods[Payment Method],RANDBETWEEN(1,5))</f>
        <v>UPI</v>
      </c>
    </row>
    <row r="54" spans="1:10" x14ac:dyDescent="0.3">
      <c r="A54" t="str">
        <f t="shared" si="1"/>
        <v>O0053</v>
      </c>
      <c r="B54" s="6">
        <f ca="1">Orders[[#This Row],[Discount%]]</f>
        <v>0</v>
      </c>
      <c r="C54" t="str" cm="1">
        <f t="array" aca="1" ref="C54" ca="1">INDEX(Customers[Customer ID],RANDBETWEEN(1,200))</f>
        <v>C138</v>
      </c>
      <c r="D54" t="str" cm="1">
        <f t="array" aca="1" ref="D54" ca="1">INDEX(Products[Product ID],RANDBETWEEN(1,50))</f>
        <v>P030</v>
      </c>
      <c r="E54" t="str" cm="1">
        <f t="array" aca="1" ref="E54" ca="1">INDEX(Warehouses[Warehouse ID],RANDBETWEEN(1,8))</f>
        <v>W008</v>
      </c>
      <c r="F54">
        <f t="shared" ca="1" si="0"/>
        <v>4</v>
      </c>
      <c r="G54">
        <f ca="1">_xlfn.XLOOKUP(Orders[[#This Row],[Product ID]],Products[Product ID],Products[Selling Price])</f>
        <v>4800</v>
      </c>
      <c r="H54" s="6">
        <f t="shared" ca="1" si="2"/>
        <v>0</v>
      </c>
      <c r="I54">
        <f ca="1">Orders[[#This Row],[Quantity]]*Orders[[#This Row],[Unit Price]]*(1-Orders[[#This Row],[Discount%]])</f>
        <v>19200</v>
      </c>
      <c r="J54" t="str" cm="1">
        <f t="array" aca="1" ref="J54" ca="1">INDEX(PaymentMethods[Payment Method],RANDBETWEEN(1,5))</f>
        <v>UPI</v>
      </c>
    </row>
    <row r="55" spans="1:10" x14ac:dyDescent="0.3">
      <c r="A55" t="str">
        <f t="shared" si="1"/>
        <v>O0054</v>
      </c>
      <c r="B55" s="6">
        <f ca="1">Orders[[#This Row],[Discount%]]</f>
        <v>0.19</v>
      </c>
      <c r="C55" t="str" cm="1">
        <f t="array" aca="1" ref="C55" ca="1">INDEX(Customers[Customer ID],RANDBETWEEN(1,200))</f>
        <v>C195</v>
      </c>
      <c r="D55" t="str" cm="1">
        <f t="array" aca="1" ref="D55" ca="1">INDEX(Products[Product ID],RANDBETWEEN(1,50))</f>
        <v>P039</v>
      </c>
      <c r="E55" t="str" cm="1">
        <f t="array" aca="1" ref="E55" ca="1">INDEX(Warehouses[Warehouse ID],RANDBETWEEN(1,8))</f>
        <v>W004</v>
      </c>
      <c r="F55">
        <f t="shared" ca="1" si="0"/>
        <v>1</v>
      </c>
      <c r="G55">
        <f ca="1">_xlfn.XLOOKUP(Orders[[#This Row],[Product ID]],Products[Product ID],Products[Selling Price])</f>
        <v>250</v>
      </c>
      <c r="H55" s="6">
        <f t="shared" ca="1" si="2"/>
        <v>0.19</v>
      </c>
      <c r="I55">
        <f ca="1">Orders[[#This Row],[Quantity]]*Orders[[#This Row],[Unit Price]]*(1-Orders[[#This Row],[Discount%]])</f>
        <v>202.5</v>
      </c>
      <c r="J55" t="str" cm="1">
        <f t="array" aca="1" ref="J55" ca="1">INDEX(PaymentMethods[Payment Method],RANDBETWEEN(1,5))</f>
        <v>Cash</v>
      </c>
    </row>
    <row r="56" spans="1:10" x14ac:dyDescent="0.3">
      <c r="A56" t="str">
        <f t="shared" si="1"/>
        <v>O0055</v>
      </c>
      <c r="B56" s="6">
        <f ca="1">Orders[[#This Row],[Discount%]]</f>
        <v>0.19</v>
      </c>
      <c r="C56" t="str" cm="1">
        <f t="array" aca="1" ref="C56" ca="1">INDEX(Customers[Customer ID],RANDBETWEEN(1,200))</f>
        <v>C197</v>
      </c>
      <c r="D56" t="str" cm="1">
        <f t="array" aca="1" ref="D56" ca="1">INDEX(Products[Product ID],RANDBETWEEN(1,50))</f>
        <v>P036</v>
      </c>
      <c r="E56" t="str" cm="1">
        <f t="array" aca="1" ref="E56" ca="1">INDEX(Warehouses[Warehouse ID],RANDBETWEEN(1,8))</f>
        <v>W002</v>
      </c>
      <c r="F56">
        <f t="shared" ca="1" si="0"/>
        <v>10</v>
      </c>
      <c r="G56">
        <f ca="1">_xlfn.XLOOKUP(Orders[[#This Row],[Product ID]],Products[Product ID],Products[Selling Price])</f>
        <v>450</v>
      </c>
      <c r="H56" s="6">
        <f t="shared" ca="1" si="2"/>
        <v>0.19</v>
      </c>
      <c r="I56">
        <f ca="1">Orders[[#This Row],[Quantity]]*Orders[[#This Row],[Unit Price]]*(1-Orders[[#This Row],[Discount%]])</f>
        <v>3645.0000000000005</v>
      </c>
      <c r="J56" t="str" cm="1">
        <f t="array" aca="1" ref="J56" ca="1">INDEX(PaymentMethods[Payment Method],RANDBETWEEN(1,5))</f>
        <v>UPI</v>
      </c>
    </row>
    <row r="57" spans="1:10" x14ac:dyDescent="0.3">
      <c r="A57" t="str">
        <f t="shared" si="1"/>
        <v>O0056</v>
      </c>
      <c r="B57" s="6">
        <f ca="1">Orders[[#This Row],[Discount%]]</f>
        <v>0.12</v>
      </c>
      <c r="C57" t="str" cm="1">
        <f t="array" aca="1" ref="C57" ca="1">INDEX(Customers[Customer ID],RANDBETWEEN(1,200))</f>
        <v>C187</v>
      </c>
      <c r="D57" t="str" cm="1">
        <f t="array" aca="1" ref="D57" ca="1">INDEX(Products[Product ID],RANDBETWEEN(1,50))</f>
        <v>P023</v>
      </c>
      <c r="E57" t="str" cm="1">
        <f t="array" aca="1" ref="E57" ca="1">INDEX(Warehouses[Warehouse ID],RANDBETWEEN(1,8))</f>
        <v>W004</v>
      </c>
      <c r="F57">
        <f t="shared" ca="1" si="0"/>
        <v>10</v>
      </c>
      <c r="G57">
        <f ca="1">_xlfn.XLOOKUP(Orders[[#This Row],[Product ID]],Products[Product ID],Products[Selling Price])</f>
        <v>2300</v>
      </c>
      <c r="H57" s="6">
        <f t="shared" ca="1" si="2"/>
        <v>0.12</v>
      </c>
      <c r="I57">
        <f ca="1">Orders[[#This Row],[Quantity]]*Orders[[#This Row],[Unit Price]]*(1-Orders[[#This Row],[Discount%]])</f>
        <v>20240</v>
      </c>
      <c r="J57" t="str" cm="1">
        <f t="array" aca="1" ref="J57" ca="1">INDEX(PaymentMethods[Payment Method],RANDBETWEEN(1,5))</f>
        <v>Net Banking</v>
      </c>
    </row>
    <row r="58" spans="1:10" x14ac:dyDescent="0.3">
      <c r="A58" t="str">
        <f t="shared" si="1"/>
        <v>O0057</v>
      </c>
      <c r="B58" s="6">
        <f ca="1">Orders[[#This Row],[Discount%]]</f>
        <v>0.08</v>
      </c>
      <c r="C58" t="str" cm="1">
        <f t="array" aca="1" ref="C58" ca="1">INDEX(Customers[Customer ID],RANDBETWEEN(1,200))</f>
        <v>C116</v>
      </c>
      <c r="D58" t="str" cm="1">
        <f t="array" aca="1" ref="D58" ca="1">INDEX(Products[Product ID],RANDBETWEEN(1,50))</f>
        <v>P020</v>
      </c>
      <c r="E58" t="str" cm="1">
        <f t="array" aca="1" ref="E58" ca="1">INDEX(Warehouses[Warehouse ID],RANDBETWEEN(1,8))</f>
        <v>W002</v>
      </c>
      <c r="F58">
        <f t="shared" ca="1" si="0"/>
        <v>9</v>
      </c>
      <c r="G58">
        <f ca="1">_xlfn.XLOOKUP(Orders[[#This Row],[Product ID]],Products[Product ID],Products[Selling Price])</f>
        <v>450</v>
      </c>
      <c r="H58" s="6">
        <f t="shared" ca="1" si="2"/>
        <v>0.08</v>
      </c>
      <c r="I58">
        <f ca="1">Orders[[#This Row],[Quantity]]*Orders[[#This Row],[Unit Price]]*(1-Orders[[#This Row],[Discount%]])</f>
        <v>3726</v>
      </c>
      <c r="J58" t="str" cm="1">
        <f t="array" aca="1" ref="J58" ca="1">INDEX(PaymentMethods[Payment Method],RANDBETWEEN(1,5))</f>
        <v>Debit Card</v>
      </c>
    </row>
    <row r="59" spans="1:10" x14ac:dyDescent="0.3">
      <c r="A59" t="str">
        <f t="shared" si="1"/>
        <v>O0058</v>
      </c>
      <c r="B59" s="6">
        <f ca="1">Orders[[#This Row],[Discount%]]</f>
        <v>0.02</v>
      </c>
      <c r="C59" t="str" cm="1">
        <f t="array" aca="1" ref="C59" ca="1">INDEX(Customers[Customer ID],RANDBETWEEN(1,200))</f>
        <v>C067</v>
      </c>
      <c r="D59" t="str" cm="1">
        <f t="array" aca="1" ref="D59" ca="1">INDEX(Products[Product ID],RANDBETWEEN(1,50))</f>
        <v>P007</v>
      </c>
      <c r="E59" t="str" cm="1">
        <f t="array" aca="1" ref="E59" ca="1">INDEX(Warehouses[Warehouse ID],RANDBETWEEN(1,8))</f>
        <v>W005</v>
      </c>
      <c r="F59">
        <f t="shared" ca="1" si="0"/>
        <v>9</v>
      </c>
      <c r="G59">
        <f ca="1">_xlfn.XLOOKUP(Orders[[#This Row],[Product ID]],Products[Product ID],Products[Selling Price])</f>
        <v>6000</v>
      </c>
      <c r="H59" s="6">
        <f t="shared" ca="1" si="2"/>
        <v>0.02</v>
      </c>
      <c r="I59">
        <f ca="1">Orders[[#This Row],[Quantity]]*Orders[[#This Row],[Unit Price]]*(1-Orders[[#This Row],[Discount%]])</f>
        <v>52920</v>
      </c>
      <c r="J59" t="str" cm="1">
        <f t="array" aca="1" ref="J59" ca="1">INDEX(PaymentMethods[Payment Method],RANDBETWEEN(1,5))</f>
        <v>Cash</v>
      </c>
    </row>
    <row r="60" spans="1:10" x14ac:dyDescent="0.3">
      <c r="A60" t="str">
        <f t="shared" si="1"/>
        <v>O0059</v>
      </c>
      <c r="B60" s="6">
        <f ca="1">Orders[[#This Row],[Discount%]]</f>
        <v>0.13</v>
      </c>
      <c r="C60" t="str" cm="1">
        <f t="array" aca="1" ref="C60" ca="1">INDEX(Customers[Customer ID],RANDBETWEEN(1,200))</f>
        <v>C032</v>
      </c>
      <c r="D60" t="str" cm="1">
        <f t="array" aca="1" ref="D60" ca="1">INDEX(Products[Product ID],RANDBETWEEN(1,50))</f>
        <v>P046</v>
      </c>
      <c r="E60" t="str" cm="1">
        <f t="array" aca="1" ref="E60" ca="1">INDEX(Warehouses[Warehouse ID],RANDBETWEEN(1,8))</f>
        <v>W008</v>
      </c>
      <c r="F60">
        <f t="shared" ca="1" si="0"/>
        <v>3</v>
      </c>
      <c r="G60">
        <f ca="1">_xlfn.XLOOKUP(Orders[[#This Row],[Product ID]],Products[Product ID],Products[Selling Price])</f>
        <v>2500</v>
      </c>
      <c r="H60" s="6">
        <f t="shared" ca="1" si="2"/>
        <v>0.13</v>
      </c>
      <c r="I60">
        <f ca="1">Orders[[#This Row],[Quantity]]*Orders[[#This Row],[Unit Price]]*(1-Orders[[#This Row],[Discount%]])</f>
        <v>6525</v>
      </c>
      <c r="J60" t="str" cm="1">
        <f t="array" aca="1" ref="J60" ca="1">INDEX(PaymentMethods[Payment Method],RANDBETWEEN(1,5))</f>
        <v>UPI</v>
      </c>
    </row>
    <row r="61" spans="1:10" x14ac:dyDescent="0.3">
      <c r="A61" t="str">
        <f t="shared" si="1"/>
        <v>O0060</v>
      </c>
      <c r="B61" s="6">
        <f ca="1">Orders[[#This Row],[Discount%]]</f>
        <v>0.16</v>
      </c>
      <c r="C61" t="str" cm="1">
        <f t="array" aca="1" ref="C61" ca="1">INDEX(Customers[Customer ID],RANDBETWEEN(1,200))</f>
        <v>C127</v>
      </c>
      <c r="D61" t="str" cm="1">
        <f t="array" aca="1" ref="D61" ca="1">INDEX(Products[Product ID],RANDBETWEEN(1,50))</f>
        <v>P033</v>
      </c>
      <c r="E61" t="str" cm="1">
        <f t="array" aca="1" ref="E61" ca="1">INDEX(Warehouses[Warehouse ID],RANDBETWEEN(1,8))</f>
        <v>W007</v>
      </c>
      <c r="F61">
        <f t="shared" ca="1" si="0"/>
        <v>4</v>
      </c>
      <c r="G61">
        <f ca="1">_xlfn.XLOOKUP(Orders[[#This Row],[Product ID]],Products[Product ID],Products[Selling Price])</f>
        <v>180</v>
      </c>
      <c r="H61" s="6">
        <f t="shared" ca="1" si="2"/>
        <v>0.16</v>
      </c>
      <c r="I61">
        <f ca="1">Orders[[#This Row],[Quantity]]*Orders[[#This Row],[Unit Price]]*(1-Orders[[#This Row],[Discount%]])</f>
        <v>604.79999999999995</v>
      </c>
      <c r="J61" t="str" cm="1">
        <f t="array" aca="1" ref="J61" ca="1">INDEX(PaymentMethods[Payment Method],RANDBETWEEN(1,5))</f>
        <v>UPI</v>
      </c>
    </row>
    <row r="62" spans="1:10" x14ac:dyDescent="0.3">
      <c r="A62" t="str">
        <f t="shared" si="1"/>
        <v>O0061</v>
      </c>
      <c r="B62" s="6">
        <f ca="1">Orders[[#This Row],[Discount%]]</f>
        <v>0.16</v>
      </c>
      <c r="C62" t="str" cm="1">
        <f t="array" aca="1" ref="C62" ca="1">INDEX(Customers[Customer ID],RANDBETWEEN(1,200))</f>
        <v>C098</v>
      </c>
      <c r="D62" t="str" cm="1">
        <f t="array" aca="1" ref="D62" ca="1">INDEX(Products[Product ID],RANDBETWEEN(1,50))</f>
        <v>P040</v>
      </c>
      <c r="E62" t="str" cm="1">
        <f t="array" aca="1" ref="E62" ca="1">INDEX(Warehouses[Warehouse ID],RANDBETWEEN(1,8))</f>
        <v>W008</v>
      </c>
      <c r="F62">
        <f t="shared" ca="1" si="0"/>
        <v>9</v>
      </c>
      <c r="G62">
        <f ca="1">_xlfn.XLOOKUP(Orders[[#This Row],[Product ID]],Products[Product ID],Products[Selling Price])</f>
        <v>180</v>
      </c>
      <c r="H62" s="6">
        <f t="shared" ca="1" si="2"/>
        <v>0.16</v>
      </c>
      <c r="I62">
        <f ca="1">Orders[[#This Row],[Quantity]]*Orders[[#This Row],[Unit Price]]*(1-Orders[[#This Row],[Discount%]])</f>
        <v>1360.8</v>
      </c>
      <c r="J62" t="str" cm="1">
        <f t="array" aca="1" ref="J62" ca="1">INDEX(PaymentMethods[Payment Method],RANDBETWEEN(1,5))</f>
        <v>UPI</v>
      </c>
    </row>
    <row r="63" spans="1:10" x14ac:dyDescent="0.3">
      <c r="A63" t="str">
        <f t="shared" si="1"/>
        <v>O0062</v>
      </c>
      <c r="B63" s="6">
        <f ca="1">Orders[[#This Row],[Discount%]]</f>
        <v>0.11</v>
      </c>
      <c r="C63" t="str" cm="1">
        <f t="array" aca="1" ref="C63" ca="1">INDEX(Customers[Customer ID],RANDBETWEEN(1,200))</f>
        <v>C038</v>
      </c>
      <c r="D63" t="str" cm="1">
        <f t="array" aca="1" ref="D63" ca="1">INDEX(Products[Product ID],RANDBETWEEN(1,50))</f>
        <v>P007</v>
      </c>
      <c r="E63" t="str" cm="1">
        <f t="array" aca="1" ref="E63" ca="1">INDEX(Warehouses[Warehouse ID],RANDBETWEEN(1,8))</f>
        <v>W001</v>
      </c>
      <c r="F63">
        <f t="shared" ca="1" si="0"/>
        <v>5</v>
      </c>
      <c r="G63">
        <f ca="1">_xlfn.XLOOKUP(Orders[[#This Row],[Product ID]],Products[Product ID],Products[Selling Price])</f>
        <v>6000</v>
      </c>
      <c r="H63" s="6">
        <f t="shared" ca="1" si="2"/>
        <v>0.11</v>
      </c>
      <c r="I63">
        <f ca="1">Orders[[#This Row],[Quantity]]*Orders[[#This Row],[Unit Price]]*(1-Orders[[#This Row],[Discount%]])</f>
        <v>26700</v>
      </c>
      <c r="J63" t="str" cm="1">
        <f t="array" aca="1" ref="J63" ca="1">INDEX(PaymentMethods[Payment Method],RANDBETWEEN(1,5))</f>
        <v>Net Banking</v>
      </c>
    </row>
    <row r="64" spans="1:10" x14ac:dyDescent="0.3">
      <c r="A64" t="str">
        <f t="shared" si="1"/>
        <v>O0063</v>
      </c>
      <c r="B64" s="6">
        <f ca="1">Orders[[#This Row],[Discount%]]</f>
        <v>0.19</v>
      </c>
      <c r="C64" t="str" cm="1">
        <f t="array" aca="1" ref="C64" ca="1">INDEX(Customers[Customer ID],RANDBETWEEN(1,200))</f>
        <v>C090</v>
      </c>
      <c r="D64" t="str" cm="1">
        <f t="array" aca="1" ref="D64" ca="1">INDEX(Products[Product ID],RANDBETWEEN(1,50))</f>
        <v>P048</v>
      </c>
      <c r="E64" t="str" cm="1">
        <f t="array" aca="1" ref="E64" ca="1">INDEX(Warehouses[Warehouse ID],RANDBETWEEN(1,8))</f>
        <v>W006</v>
      </c>
      <c r="F64">
        <f t="shared" ca="1" si="0"/>
        <v>8</v>
      </c>
      <c r="G64">
        <f ca="1">_xlfn.XLOOKUP(Orders[[#This Row],[Product ID]],Products[Product ID],Products[Selling Price])</f>
        <v>1200</v>
      </c>
      <c r="H64" s="6">
        <f t="shared" ca="1" si="2"/>
        <v>0.19</v>
      </c>
      <c r="I64">
        <f ca="1">Orders[[#This Row],[Quantity]]*Orders[[#This Row],[Unit Price]]*(1-Orders[[#This Row],[Discount%]])</f>
        <v>7776.0000000000009</v>
      </c>
      <c r="J64" t="str" cm="1">
        <f t="array" aca="1" ref="J64" ca="1">INDEX(PaymentMethods[Payment Method],RANDBETWEEN(1,5))</f>
        <v>Cash</v>
      </c>
    </row>
    <row r="65" spans="1:10" x14ac:dyDescent="0.3">
      <c r="A65" t="str">
        <f t="shared" si="1"/>
        <v>O0064</v>
      </c>
      <c r="B65" s="6">
        <f ca="1">Orders[[#This Row],[Discount%]]</f>
        <v>0.14000000000000001</v>
      </c>
      <c r="C65" t="str" cm="1">
        <f t="array" aca="1" ref="C65" ca="1">INDEX(Customers[Customer ID],RANDBETWEEN(1,200))</f>
        <v>C118</v>
      </c>
      <c r="D65" t="str" cm="1">
        <f t="array" aca="1" ref="D65" ca="1">INDEX(Products[Product ID],RANDBETWEEN(1,50))</f>
        <v>P005</v>
      </c>
      <c r="E65" t="str" cm="1">
        <f t="array" aca="1" ref="E65" ca="1">INDEX(Warehouses[Warehouse ID],RANDBETWEEN(1,8))</f>
        <v>W004</v>
      </c>
      <c r="F65">
        <f t="shared" ca="1" si="0"/>
        <v>5</v>
      </c>
      <c r="G65">
        <f ca="1">_xlfn.XLOOKUP(Orders[[#This Row],[Product ID]],Products[Product ID],Products[Selling Price])</f>
        <v>10500</v>
      </c>
      <c r="H65" s="6">
        <f t="shared" ca="1" si="2"/>
        <v>0.14000000000000001</v>
      </c>
      <c r="I65">
        <f ca="1">Orders[[#This Row],[Quantity]]*Orders[[#This Row],[Unit Price]]*(1-Orders[[#This Row],[Discount%]])</f>
        <v>45150</v>
      </c>
      <c r="J65" t="str" cm="1">
        <f t="array" aca="1" ref="J65" ca="1">INDEX(PaymentMethods[Payment Method],RANDBETWEEN(1,5))</f>
        <v>Credit Card</v>
      </c>
    </row>
    <row r="66" spans="1:10" x14ac:dyDescent="0.3">
      <c r="A66" t="str">
        <f t="shared" si="1"/>
        <v>O0065</v>
      </c>
      <c r="B66" s="6">
        <f ca="1">Orders[[#This Row],[Discount%]]</f>
        <v>0.09</v>
      </c>
      <c r="C66" t="str" cm="1">
        <f t="array" aca="1" ref="C66" ca="1">INDEX(Customers[Customer ID],RANDBETWEEN(1,200))</f>
        <v>C155</v>
      </c>
      <c r="D66" t="str" cm="1">
        <f t="array" aca="1" ref="D66" ca="1">INDEX(Products[Product ID],RANDBETWEEN(1,50))</f>
        <v>P039</v>
      </c>
      <c r="E66" t="str" cm="1">
        <f t="array" aca="1" ref="E66" ca="1">INDEX(Warehouses[Warehouse ID],RANDBETWEEN(1,8))</f>
        <v>W003</v>
      </c>
      <c r="F66">
        <f t="shared" ref="F66:F129" ca="1" si="3">RANDBETWEEN(1,10)</f>
        <v>4</v>
      </c>
      <c r="G66">
        <f ca="1">_xlfn.XLOOKUP(Orders[[#This Row],[Product ID]],Products[Product ID],Products[Selling Price])</f>
        <v>250</v>
      </c>
      <c r="H66" s="6">
        <f t="shared" ref="H66:H129" ca="1" si="4">RANDBETWEEN(0,20)/100</f>
        <v>0.09</v>
      </c>
      <c r="I66">
        <f ca="1">Orders[[#This Row],[Quantity]]*Orders[[#This Row],[Unit Price]]*(1-Orders[[#This Row],[Discount%]])</f>
        <v>910</v>
      </c>
      <c r="J66" t="str" cm="1">
        <f t="array" aca="1" ref="J66" ca="1">INDEX(PaymentMethods[Payment Method],RANDBETWEEN(1,5))</f>
        <v>UPI</v>
      </c>
    </row>
    <row r="67" spans="1:10" x14ac:dyDescent="0.3">
      <c r="A67" t="str">
        <f t="shared" ref="A67:A130" si="5">"O"&amp;TEXT(ROW()-1,"0000")</f>
        <v>O0066</v>
      </c>
      <c r="B67" s="6">
        <f ca="1">Orders[[#This Row],[Discount%]]</f>
        <v>0.18</v>
      </c>
      <c r="C67" t="str" cm="1">
        <f t="array" aca="1" ref="C67" ca="1">INDEX(Customers[Customer ID],RANDBETWEEN(1,200))</f>
        <v>C179</v>
      </c>
      <c r="D67" t="str" cm="1">
        <f t="array" aca="1" ref="D67" ca="1">INDEX(Products[Product ID],RANDBETWEEN(1,50))</f>
        <v>P025</v>
      </c>
      <c r="E67" t="str" cm="1">
        <f t="array" aca="1" ref="E67" ca="1">INDEX(Warehouses[Warehouse ID],RANDBETWEEN(1,8))</f>
        <v>W006</v>
      </c>
      <c r="F67">
        <f t="shared" ca="1" si="3"/>
        <v>6</v>
      </c>
      <c r="G67">
        <f ca="1">_xlfn.XLOOKUP(Orders[[#This Row],[Product ID]],Products[Product ID],Products[Selling Price])</f>
        <v>1800</v>
      </c>
      <c r="H67" s="6">
        <f t="shared" ca="1" si="4"/>
        <v>0.18</v>
      </c>
      <c r="I67">
        <f ca="1">Orders[[#This Row],[Quantity]]*Orders[[#This Row],[Unit Price]]*(1-Orders[[#This Row],[Discount%]])</f>
        <v>8856</v>
      </c>
      <c r="J67" t="str" cm="1">
        <f t="array" aca="1" ref="J67" ca="1">INDEX(PaymentMethods[Payment Method],RANDBETWEEN(1,5))</f>
        <v>Cash</v>
      </c>
    </row>
    <row r="68" spans="1:10" x14ac:dyDescent="0.3">
      <c r="A68" t="str">
        <f t="shared" si="5"/>
        <v>O0067</v>
      </c>
      <c r="B68" s="6">
        <f ca="1">Orders[[#This Row],[Discount%]]</f>
        <v>0.15</v>
      </c>
      <c r="C68" t="str" cm="1">
        <f t="array" aca="1" ref="C68" ca="1">INDEX(Customers[Customer ID],RANDBETWEEN(1,200))</f>
        <v>C112</v>
      </c>
      <c r="D68" t="str" cm="1">
        <f t="array" aca="1" ref="D68" ca="1">INDEX(Products[Product ID],RANDBETWEEN(1,50))</f>
        <v>P023</v>
      </c>
      <c r="E68" t="str" cm="1">
        <f t="array" aca="1" ref="E68" ca="1">INDEX(Warehouses[Warehouse ID],RANDBETWEEN(1,8))</f>
        <v>W001</v>
      </c>
      <c r="F68">
        <f t="shared" ca="1" si="3"/>
        <v>5</v>
      </c>
      <c r="G68">
        <f ca="1">_xlfn.XLOOKUP(Orders[[#This Row],[Product ID]],Products[Product ID],Products[Selling Price])</f>
        <v>2300</v>
      </c>
      <c r="H68" s="6">
        <f t="shared" ca="1" si="4"/>
        <v>0.15</v>
      </c>
      <c r="I68">
        <f ca="1">Orders[[#This Row],[Quantity]]*Orders[[#This Row],[Unit Price]]*(1-Orders[[#This Row],[Discount%]])</f>
        <v>9775</v>
      </c>
      <c r="J68" t="str" cm="1">
        <f t="array" aca="1" ref="J68" ca="1">INDEX(PaymentMethods[Payment Method],RANDBETWEEN(1,5))</f>
        <v>Cash</v>
      </c>
    </row>
    <row r="69" spans="1:10" x14ac:dyDescent="0.3">
      <c r="A69" t="str">
        <f t="shared" si="5"/>
        <v>O0068</v>
      </c>
      <c r="B69" s="6">
        <f ca="1">Orders[[#This Row],[Discount%]]</f>
        <v>0.08</v>
      </c>
      <c r="C69" t="str" cm="1">
        <f t="array" aca="1" ref="C69" ca="1">INDEX(Customers[Customer ID],RANDBETWEEN(1,200))</f>
        <v>C100</v>
      </c>
      <c r="D69" t="str" cm="1">
        <f t="array" aca="1" ref="D69" ca="1">INDEX(Products[Product ID],RANDBETWEEN(1,50))</f>
        <v>P029</v>
      </c>
      <c r="E69" t="str" cm="1">
        <f t="array" aca="1" ref="E69" ca="1">INDEX(Warehouses[Warehouse ID],RANDBETWEEN(1,8))</f>
        <v>W003</v>
      </c>
      <c r="F69">
        <f t="shared" ca="1" si="3"/>
        <v>4</v>
      </c>
      <c r="G69">
        <f ca="1">_xlfn.XLOOKUP(Orders[[#This Row],[Product ID]],Products[Product ID],Products[Selling Price])</f>
        <v>3200</v>
      </c>
      <c r="H69" s="6">
        <f t="shared" ca="1" si="4"/>
        <v>0.08</v>
      </c>
      <c r="I69">
        <f ca="1">Orders[[#This Row],[Quantity]]*Orders[[#This Row],[Unit Price]]*(1-Orders[[#This Row],[Discount%]])</f>
        <v>11776</v>
      </c>
      <c r="J69" t="str" cm="1">
        <f t="array" aca="1" ref="J69" ca="1">INDEX(PaymentMethods[Payment Method],RANDBETWEEN(1,5))</f>
        <v>UPI</v>
      </c>
    </row>
    <row r="70" spans="1:10" x14ac:dyDescent="0.3">
      <c r="A70" t="str">
        <f t="shared" si="5"/>
        <v>O0069</v>
      </c>
      <c r="B70" s="6">
        <f ca="1">Orders[[#This Row],[Discount%]]</f>
        <v>0.05</v>
      </c>
      <c r="C70" t="str" cm="1">
        <f t="array" aca="1" ref="C70" ca="1">INDEX(Customers[Customer ID],RANDBETWEEN(1,200))</f>
        <v>C154</v>
      </c>
      <c r="D70" t="str" cm="1">
        <f t="array" aca="1" ref="D70" ca="1">INDEX(Products[Product ID],RANDBETWEEN(1,50))</f>
        <v>P026</v>
      </c>
      <c r="E70" t="str" cm="1">
        <f t="array" aca="1" ref="E70" ca="1">INDEX(Warehouses[Warehouse ID],RANDBETWEEN(1,8))</f>
        <v>W005</v>
      </c>
      <c r="F70">
        <f t="shared" ca="1" si="3"/>
        <v>10</v>
      </c>
      <c r="G70">
        <f ca="1">_xlfn.XLOOKUP(Orders[[#This Row],[Product ID]],Products[Product ID],Products[Selling Price])</f>
        <v>650</v>
      </c>
      <c r="H70" s="6">
        <f t="shared" ca="1" si="4"/>
        <v>0.05</v>
      </c>
      <c r="I70">
        <f ca="1">Orders[[#This Row],[Quantity]]*Orders[[#This Row],[Unit Price]]*(1-Orders[[#This Row],[Discount%]])</f>
        <v>6175</v>
      </c>
      <c r="J70" t="str" cm="1">
        <f t="array" aca="1" ref="J70" ca="1">INDEX(PaymentMethods[Payment Method],RANDBETWEEN(1,5))</f>
        <v>Net Banking</v>
      </c>
    </row>
    <row r="71" spans="1:10" x14ac:dyDescent="0.3">
      <c r="A71" t="str">
        <f t="shared" si="5"/>
        <v>O0070</v>
      </c>
      <c r="B71" s="6">
        <f ca="1">Orders[[#This Row],[Discount%]]</f>
        <v>0.04</v>
      </c>
      <c r="C71" t="str" cm="1">
        <f t="array" aca="1" ref="C71" ca="1">INDEX(Customers[Customer ID],RANDBETWEEN(1,200))</f>
        <v>C057</v>
      </c>
      <c r="D71" t="str" cm="1">
        <f t="array" aca="1" ref="D71" ca="1">INDEX(Products[Product ID],RANDBETWEEN(1,50))</f>
        <v>P021</v>
      </c>
      <c r="E71" t="str" cm="1">
        <f t="array" aca="1" ref="E71" ca="1">INDEX(Warehouses[Warehouse ID],RANDBETWEEN(1,8))</f>
        <v>W008</v>
      </c>
      <c r="F71">
        <f t="shared" ca="1" si="3"/>
        <v>10</v>
      </c>
      <c r="G71">
        <f ca="1">_xlfn.XLOOKUP(Orders[[#This Row],[Product ID]],Products[Product ID],Products[Selling Price])</f>
        <v>22000</v>
      </c>
      <c r="H71" s="6">
        <f t="shared" ca="1" si="4"/>
        <v>0.04</v>
      </c>
      <c r="I71">
        <f ca="1">Orders[[#This Row],[Quantity]]*Orders[[#This Row],[Unit Price]]*(1-Orders[[#This Row],[Discount%]])</f>
        <v>211200</v>
      </c>
      <c r="J71" t="str" cm="1">
        <f t="array" aca="1" ref="J71" ca="1">INDEX(PaymentMethods[Payment Method],RANDBETWEEN(1,5))</f>
        <v>Net Banking</v>
      </c>
    </row>
    <row r="72" spans="1:10" x14ac:dyDescent="0.3">
      <c r="A72" t="str">
        <f t="shared" si="5"/>
        <v>O0071</v>
      </c>
      <c r="B72" s="6">
        <f ca="1">Orders[[#This Row],[Discount%]]</f>
        <v>0.01</v>
      </c>
      <c r="C72" t="str" cm="1">
        <f t="array" aca="1" ref="C72" ca="1">INDEX(Customers[Customer ID],RANDBETWEEN(1,200))</f>
        <v>C027</v>
      </c>
      <c r="D72" t="str" cm="1">
        <f t="array" aca="1" ref="D72" ca="1">INDEX(Products[Product ID],RANDBETWEEN(1,50))</f>
        <v>P050</v>
      </c>
      <c r="E72" t="str" cm="1">
        <f t="array" aca="1" ref="E72" ca="1">INDEX(Warehouses[Warehouse ID],RANDBETWEEN(1,8))</f>
        <v>W007</v>
      </c>
      <c r="F72">
        <f t="shared" ca="1" si="3"/>
        <v>7</v>
      </c>
      <c r="G72">
        <f ca="1">_xlfn.XLOOKUP(Orders[[#This Row],[Product ID]],Products[Product ID],Products[Selling Price])</f>
        <v>12000</v>
      </c>
      <c r="H72" s="6">
        <f t="shared" ca="1" si="4"/>
        <v>0.01</v>
      </c>
      <c r="I72">
        <f ca="1">Orders[[#This Row],[Quantity]]*Orders[[#This Row],[Unit Price]]*(1-Orders[[#This Row],[Discount%]])</f>
        <v>83160</v>
      </c>
      <c r="J72" t="str" cm="1">
        <f t="array" aca="1" ref="J72" ca="1">INDEX(PaymentMethods[Payment Method],RANDBETWEEN(1,5))</f>
        <v>Debit Card</v>
      </c>
    </row>
    <row r="73" spans="1:10" x14ac:dyDescent="0.3">
      <c r="A73" t="str">
        <f t="shared" si="5"/>
        <v>O0072</v>
      </c>
      <c r="B73" s="6">
        <f ca="1">Orders[[#This Row],[Discount%]]</f>
        <v>0</v>
      </c>
      <c r="C73" t="str" cm="1">
        <f t="array" aca="1" ref="C73" ca="1">INDEX(Customers[Customer ID],RANDBETWEEN(1,200))</f>
        <v>C124</v>
      </c>
      <c r="D73" t="str" cm="1">
        <f t="array" aca="1" ref="D73" ca="1">INDEX(Products[Product ID],RANDBETWEEN(1,50))</f>
        <v>P026</v>
      </c>
      <c r="E73" t="str" cm="1">
        <f t="array" aca="1" ref="E73" ca="1">INDEX(Warehouses[Warehouse ID],RANDBETWEEN(1,8))</f>
        <v>W008</v>
      </c>
      <c r="F73">
        <f t="shared" ca="1" si="3"/>
        <v>2</v>
      </c>
      <c r="G73">
        <f ca="1">_xlfn.XLOOKUP(Orders[[#This Row],[Product ID]],Products[Product ID],Products[Selling Price])</f>
        <v>650</v>
      </c>
      <c r="H73" s="6">
        <f t="shared" ca="1" si="4"/>
        <v>0</v>
      </c>
      <c r="I73">
        <f ca="1">Orders[[#This Row],[Quantity]]*Orders[[#This Row],[Unit Price]]*(1-Orders[[#This Row],[Discount%]])</f>
        <v>1300</v>
      </c>
      <c r="J73" t="str" cm="1">
        <f t="array" aca="1" ref="J73" ca="1">INDEX(PaymentMethods[Payment Method],RANDBETWEEN(1,5))</f>
        <v>Credit Card</v>
      </c>
    </row>
    <row r="74" spans="1:10" x14ac:dyDescent="0.3">
      <c r="A74" t="str">
        <f t="shared" si="5"/>
        <v>O0073</v>
      </c>
      <c r="B74" s="6">
        <f ca="1">Orders[[#This Row],[Discount%]]</f>
        <v>0.1</v>
      </c>
      <c r="C74" t="str" cm="1">
        <f t="array" aca="1" ref="C74" ca="1">INDEX(Customers[Customer ID],RANDBETWEEN(1,200))</f>
        <v>C161</v>
      </c>
      <c r="D74" t="str" cm="1">
        <f t="array" aca="1" ref="D74" ca="1">INDEX(Products[Product ID],RANDBETWEEN(1,50))</f>
        <v>P029</v>
      </c>
      <c r="E74" t="str" cm="1">
        <f t="array" aca="1" ref="E74" ca="1">INDEX(Warehouses[Warehouse ID],RANDBETWEEN(1,8))</f>
        <v>W001</v>
      </c>
      <c r="F74">
        <f t="shared" ca="1" si="3"/>
        <v>2</v>
      </c>
      <c r="G74">
        <f ca="1">_xlfn.XLOOKUP(Orders[[#This Row],[Product ID]],Products[Product ID],Products[Selling Price])</f>
        <v>3200</v>
      </c>
      <c r="H74" s="6">
        <f t="shared" ca="1" si="4"/>
        <v>0.1</v>
      </c>
      <c r="I74">
        <f ca="1">Orders[[#This Row],[Quantity]]*Orders[[#This Row],[Unit Price]]*(1-Orders[[#This Row],[Discount%]])</f>
        <v>5760</v>
      </c>
      <c r="J74" t="str" cm="1">
        <f t="array" aca="1" ref="J74" ca="1">INDEX(PaymentMethods[Payment Method],RANDBETWEEN(1,5))</f>
        <v>Cash</v>
      </c>
    </row>
    <row r="75" spans="1:10" x14ac:dyDescent="0.3">
      <c r="A75" t="str">
        <f t="shared" si="5"/>
        <v>O0074</v>
      </c>
      <c r="B75" s="6">
        <f ca="1">Orders[[#This Row],[Discount%]]</f>
        <v>0.16</v>
      </c>
      <c r="C75" t="str" cm="1">
        <f t="array" aca="1" ref="C75" ca="1">INDEX(Customers[Customer ID],RANDBETWEEN(1,200))</f>
        <v>C169</v>
      </c>
      <c r="D75" t="str" cm="1">
        <f t="array" aca="1" ref="D75" ca="1">INDEX(Products[Product ID],RANDBETWEEN(1,50))</f>
        <v>P043</v>
      </c>
      <c r="E75" t="str" cm="1">
        <f t="array" aca="1" ref="E75" ca="1">INDEX(Warehouses[Warehouse ID],RANDBETWEEN(1,8))</f>
        <v>W001</v>
      </c>
      <c r="F75">
        <f t="shared" ca="1" si="3"/>
        <v>4</v>
      </c>
      <c r="G75">
        <f ca="1">_xlfn.XLOOKUP(Orders[[#This Row],[Product ID]],Products[Product ID],Products[Selling Price])</f>
        <v>24500</v>
      </c>
      <c r="H75" s="6">
        <f t="shared" ca="1" si="4"/>
        <v>0.16</v>
      </c>
      <c r="I75">
        <f ca="1">Orders[[#This Row],[Quantity]]*Orders[[#This Row],[Unit Price]]*(1-Orders[[#This Row],[Discount%]])</f>
        <v>82320</v>
      </c>
      <c r="J75" t="str" cm="1">
        <f t="array" aca="1" ref="J75" ca="1">INDEX(PaymentMethods[Payment Method],RANDBETWEEN(1,5))</f>
        <v>Debit Card</v>
      </c>
    </row>
    <row r="76" spans="1:10" x14ac:dyDescent="0.3">
      <c r="A76" t="str">
        <f t="shared" si="5"/>
        <v>O0075</v>
      </c>
      <c r="B76" s="6">
        <f ca="1">Orders[[#This Row],[Discount%]]</f>
        <v>0.2</v>
      </c>
      <c r="C76" t="str" cm="1">
        <f t="array" aca="1" ref="C76" ca="1">INDEX(Customers[Customer ID],RANDBETWEEN(1,200))</f>
        <v>C139</v>
      </c>
      <c r="D76" t="str" cm="1">
        <f t="array" aca="1" ref="D76" ca="1">INDEX(Products[Product ID],RANDBETWEEN(1,50))</f>
        <v>P023</v>
      </c>
      <c r="E76" t="str" cm="1">
        <f t="array" aca="1" ref="E76" ca="1">INDEX(Warehouses[Warehouse ID],RANDBETWEEN(1,8))</f>
        <v>W008</v>
      </c>
      <c r="F76">
        <f t="shared" ca="1" si="3"/>
        <v>5</v>
      </c>
      <c r="G76">
        <f ca="1">_xlfn.XLOOKUP(Orders[[#This Row],[Product ID]],Products[Product ID],Products[Selling Price])</f>
        <v>2300</v>
      </c>
      <c r="H76" s="6">
        <f t="shared" ca="1" si="4"/>
        <v>0.2</v>
      </c>
      <c r="I76">
        <f ca="1">Orders[[#This Row],[Quantity]]*Orders[[#This Row],[Unit Price]]*(1-Orders[[#This Row],[Discount%]])</f>
        <v>9200</v>
      </c>
      <c r="J76" t="str" cm="1">
        <f t="array" aca="1" ref="J76" ca="1">INDEX(PaymentMethods[Payment Method],RANDBETWEEN(1,5))</f>
        <v>Net Banking</v>
      </c>
    </row>
    <row r="77" spans="1:10" x14ac:dyDescent="0.3">
      <c r="A77" t="str">
        <f t="shared" si="5"/>
        <v>O0076</v>
      </c>
      <c r="B77" s="6">
        <f ca="1">Orders[[#This Row],[Discount%]]</f>
        <v>0.08</v>
      </c>
      <c r="C77" t="str" cm="1">
        <f t="array" aca="1" ref="C77" ca="1">INDEX(Customers[Customer ID],RANDBETWEEN(1,200))</f>
        <v>C064</v>
      </c>
      <c r="D77" t="str" cm="1">
        <f t="array" aca="1" ref="D77" ca="1">INDEX(Products[Product ID],RANDBETWEEN(1,50))</f>
        <v>P029</v>
      </c>
      <c r="E77" t="str" cm="1">
        <f t="array" aca="1" ref="E77" ca="1">INDEX(Warehouses[Warehouse ID],RANDBETWEEN(1,8))</f>
        <v>W005</v>
      </c>
      <c r="F77">
        <f t="shared" ca="1" si="3"/>
        <v>10</v>
      </c>
      <c r="G77">
        <f ca="1">_xlfn.XLOOKUP(Orders[[#This Row],[Product ID]],Products[Product ID],Products[Selling Price])</f>
        <v>3200</v>
      </c>
      <c r="H77" s="6">
        <f t="shared" ca="1" si="4"/>
        <v>0.08</v>
      </c>
      <c r="I77">
        <f ca="1">Orders[[#This Row],[Quantity]]*Orders[[#This Row],[Unit Price]]*(1-Orders[[#This Row],[Discount%]])</f>
        <v>29440</v>
      </c>
      <c r="J77" t="str" cm="1">
        <f t="array" aca="1" ref="J77" ca="1">INDEX(PaymentMethods[Payment Method],RANDBETWEEN(1,5))</f>
        <v>Net Banking</v>
      </c>
    </row>
    <row r="78" spans="1:10" x14ac:dyDescent="0.3">
      <c r="A78" t="str">
        <f t="shared" si="5"/>
        <v>O0077</v>
      </c>
      <c r="B78" s="6">
        <f ca="1">Orders[[#This Row],[Discount%]]</f>
        <v>0.02</v>
      </c>
      <c r="C78" t="str" cm="1">
        <f t="array" aca="1" ref="C78" ca="1">INDEX(Customers[Customer ID],RANDBETWEEN(1,200))</f>
        <v>C022</v>
      </c>
      <c r="D78" t="str" cm="1">
        <f t="array" aca="1" ref="D78" ca="1">INDEX(Products[Product ID],RANDBETWEEN(1,50))</f>
        <v>P030</v>
      </c>
      <c r="E78" t="str" cm="1">
        <f t="array" aca="1" ref="E78" ca="1">INDEX(Warehouses[Warehouse ID],RANDBETWEEN(1,8))</f>
        <v>W003</v>
      </c>
      <c r="F78">
        <f t="shared" ca="1" si="3"/>
        <v>4</v>
      </c>
      <c r="G78">
        <f ca="1">_xlfn.XLOOKUP(Orders[[#This Row],[Product ID]],Products[Product ID],Products[Selling Price])</f>
        <v>4800</v>
      </c>
      <c r="H78" s="6">
        <f t="shared" ca="1" si="4"/>
        <v>0.02</v>
      </c>
      <c r="I78">
        <f ca="1">Orders[[#This Row],[Quantity]]*Orders[[#This Row],[Unit Price]]*(1-Orders[[#This Row],[Discount%]])</f>
        <v>18816</v>
      </c>
      <c r="J78" t="str" cm="1">
        <f t="array" aca="1" ref="J78" ca="1">INDEX(PaymentMethods[Payment Method],RANDBETWEEN(1,5))</f>
        <v>Net Banking</v>
      </c>
    </row>
    <row r="79" spans="1:10" x14ac:dyDescent="0.3">
      <c r="A79" t="str">
        <f t="shared" si="5"/>
        <v>O0078</v>
      </c>
      <c r="B79" s="6">
        <f ca="1">Orders[[#This Row],[Discount%]]</f>
        <v>0.09</v>
      </c>
      <c r="C79" t="str" cm="1">
        <f t="array" aca="1" ref="C79" ca="1">INDEX(Customers[Customer ID],RANDBETWEEN(1,200))</f>
        <v>C020</v>
      </c>
      <c r="D79" t="str" cm="1">
        <f t="array" aca="1" ref="D79" ca="1">INDEX(Products[Product ID],RANDBETWEEN(1,50))</f>
        <v>P030</v>
      </c>
      <c r="E79" t="str" cm="1">
        <f t="array" aca="1" ref="E79" ca="1">INDEX(Warehouses[Warehouse ID],RANDBETWEEN(1,8))</f>
        <v>W005</v>
      </c>
      <c r="F79">
        <f t="shared" ca="1" si="3"/>
        <v>2</v>
      </c>
      <c r="G79">
        <f ca="1">_xlfn.XLOOKUP(Orders[[#This Row],[Product ID]],Products[Product ID],Products[Selling Price])</f>
        <v>4800</v>
      </c>
      <c r="H79" s="6">
        <f t="shared" ca="1" si="4"/>
        <v>0.09</v>
      </c>
      <c r="I79">
        <f ca="1">Orders[[#This Row],[Quantity]]*Orders[[#This Row],[Unit Price]]*(1-Orders[[#This Row],[Discount%]])</f>
        <v>8736</v>
      </c>
      <c r="J79" t="str" cm="1">
        <f t="array" aca="1" ref="J79" ca="1">INDEX(PaymentMethods[Payment Method],RANDBETWEEN(1,5))</f>
        <v>Credit Card</v>
      </c>
    </row>
    <row r="80" spans="1:10" x14ac:dyDescent="0.3">
      <c r="A80" t="str">
        <f t="shared" si="5"/>
        <v>O0079</v>
      </c>
      <c r="B80" s="6">
        <f ca="1">Orders[[#This Row],[Discount%]]</f>
        <v>0.08</v>
      </c>
      <c r="C80" t="str" cm="1">
        <f t="array" aca="1" ref="C80" ca="1">INDEX(Customers[Customer ID],RANDBETWEEN(1,200))</f>
        <v>C023</v>
      </c>
      <c r="D80" t="str" cm="1">
        <f t="array" aca="1" ref="D80" ca="1">INDEX(Products[Product ID],RANDBETWEEN(1,50))</f>
        <v>P037</v>
      </c>
      <c r="E80" t="str" cm="1">
        <f t="array" aca="1" ref="E80" ca="1">INDEX(Warehouses[Warehouse ID],RANDBETWEEN(1,8))</f>
        <v>W002</v>
      </c>
      <c r="F80">
        <f t="shared" ca="1" si="3"/>
        <v>10</v>
      </c>
      <c r="G80">
        <f ca="1">_xlfn.XLOOKUP(Orders[[#This Row],[Product ID]],Products[Product ID],Products[Selling Price])</f>
        <v>550</v>
      </c>
      <c r="H80" s="6">
        <f t="shared" ca="1" si="4"/>
        <v>0.08</v>
      </c>
      <c r="I80">
        <f ca="1">Orders[[#This Row],[Quantity]]*Orders[[#This Row],[Unit Price]]*(1-Orders[[#This Row],[Discount%]])</f>
        <v>5060</v>
      </c>
      <c r="J80" t="str" cm="1">
        <f t="array" aca="1" ref="J80" ca="1">INDEX(PaymentMethods[Payment Method],RANDBETWEEN(1,5))</f>
        <v>UPI</v>
      </c>
    </row>
    <row r="81" spans="1:10" x14ac:dyDescent="0.3">
      <c r="A81" t="str">
        <f t="shared" si="5"/>
        <v>O0080</v>
      </c>
      <c r="B81" s="6">
        <f ca="1">Orders[[#This Row],[Discount%]]</f>
        <v>0.2</v>
      </c>
      <c r="C81" t="str" cm="1">
        <f t="array" aca="1" ref="C81" ca="1">INDEX(Customers[Customer ID],RANDBETWEEN(1,200))</f>
        <v>C176</v>
      </c>
      <c r="D81" t="str" cm="1">
        <f t="array" aca="1" ref="D81" ca="1">INDEX(Products[Product ID],RANDBETWEEN(1,50))</f>
        <v>P010</v>
      </c>
      <c r="E81" t="str" cm="1">
        <f t="array" aca="1" ref="E81" ca="1">INDEX(Warehouses[Warehouse ID],RANDBETWEEN(1,8))</f>
        <v>W008</v>
      </c>
      <c r="F81">
        <f t="shared" ca="1" si="3"/>
        <v>5</v>
      </c>
      <c r="G81">
        <f ca="1">_xlfn.XLOOKUP(Orders[[#This Row],[Product ID]],Products[Product ID],Products[Selling Price])</f>
        <v>250</v>
      </c>
      <c r="H81" s="6">
        <f t="shared" ca="1" si="4"/>
        <v>0.2</v>
      </c>
      <c r="I81">
        <f ca="1">Orders[[#This Row],[Quantity]]*Orders[[#This Row],[Unit Price]]*(1-Orders[[#This Row],[Discount%]])</f>
        <v>1000</v>
      </c>
      <c r="J81" t="str" cm="1">
        <f t="array" aca="1" ref="J81" ca="1">INDEX(PaymentMethods[Payment Method],RANDBETWEEN(1,5))</f>
        <v>Net Banking</v>
      </c>
    </row>
    <row r="82" spans="1:10" x14ac:dyDescent="0.3">
      <c r="A82" t="str">
        <f t="shared" si="5"/>
        <v>O0081</v>
      </c>
      <c r="B82" s="6">
        <f ca="1">Orders[[#This Row],[Discount%]]</f>
        <v>0.03</v>
      </c>
      <c r="C82" t="str" cm="1">
        <f t="array" aca="1" ref="C82" ca="1">INDEX(Customers[Customer ID],RANDBETWEEN(1,200))</f>
        <v>C070</v>
      </c>
      <c r="D82" t="str" cm="1">
        <f t="array" aca="1" ref="D82" ca="1">INDEX(Products[Product ID],RANDBETWEEN(1,50))</f>
        <v>P045</v>
      </c>
      <c r="E82" t="str" cm="1">
        <f t="array" aca="1" ref="E82" ca="1">INDEX(Warehouses[Warehouse ID],RANDBETWEEN(1,8))</f>
        <v>W007</v>
      </c>
      <c r="F82">
        <f t="shared" ca="1" si="3"/>
        <v>7</v>
      </c>
      <c r="G82">
        <f ca="1">_xlfn.XLOOKUP(Orders[[#This Row],[Product ID]],Products[Product ID],Products[Selling Price])</f>
        <v>1500</v>
      </c>
      <c r="H82" s="6">
        <f t="shared" ca="1" si="4"/>
        <v>0.03</v>
      </c>
      <c r="I82">
        <f ca="1">Orders[[#This Row],[Quantity]]*Orders[[#This Row],[Unit Price]]*(1-Orders[[#This Row],[Discount%]])</f>
        <v>10185</v>
      </c>
      <c r="J82" t="str" cm="1">
        <f t="array" aca="1" ref="J82" ca="1">INDEX(PaymentMethods[Payment Method],RANDBETWEEN(1,5))</f>
        <v>Credit Card</v>
      </c>
    </row>
    <row r="83" spans="1:10" x14ac:dyDescent="0.3">
      <c r="A83" t="str">
        <f t="shared" si="5"/>
        <v>O0082</v>
      </c>
      <c r="B83" s="6">
        <f ca="1">Orders[[#This Row],[Discount%]]</f>
        <v>0.02</v>
      </c>
      <c r="C83" t="str" cm="1">
        <f t="array" aca="1" ref="C83" ca="1">INDEX(Customers[Customer ID],RANDBETWEEN(1,200))</f>
        <v>C061</v>
      </c>
      <c r="D83" t="str" cm="1">
        <f t="array" aca="1" ref="D83" ca="1">INDEX(Products[Product ID],RANDBETWEEN(1,50))</f>
        <v>P017</v>
      </c>
      <c r="E83" t="str" cm="1">
        <f t="array" aca="1" ref="E83" ca="1">INDEX(Warehouses[Warehouse ID],RANDBETWEEN(1,8))</f>
        <v>W003</v>
      </c>
      <c r="F83">
        <f t="shared" ca="1" si="3"/>
        <v>6</v>
      </c>
      <c r="G83">
        <f ca="1">_xlfn.XLOOKUP(Orders[[#This Row],[Product ID]],Products[Product ID],Products[Selling Price])</f>
        <v>650</v>
      </c>
      <c r="H83" s="6">
        <f t="shared" ca="1" si="4"/>
        <v>0.02</v>
      </c>
      <c r="I83">
        <f ca="1">Orders[[#This Row],[Quantity]]*Orders[[#This Row],[Unit Price]]*(1-Orders[[#This Row],[Discount%]])</f>
        <v>3822</v>
      </c>
      <c r="J83" t="str" cm="1">
        <f t="array" aca="1" ref="J83" ca="1">INDEX(PaymentMethods[Payment Method],RANDBETWEEN(1,5))</f>
        <v>UPI</v>
      </c>
    </row>
    <row r="84" spans="1:10" x14ac:dyDescent="0.3">
      <c r="A84" t="str">
        <f t="shared" si="5"/>
        <v>O0083</v>
      </c>
      <c r="B84" s="6">
        <f ca="1">Orders[[#This Row],[Discount%]]</f>
        <v>0.12</v>
      </c>
      <c r="C84" t="str" cm="1">
        <f t="array" aca="1" ref="C84" ca="1">INDEX(Customers[Customer ID],RANDBETWEEN(1,200))</f>
        <v>C174</v>
      </c>
      <c r="D84" t="str" cm="1">
        <f t="array" aca="1" ref="D84" ca="1">INDEX(Products[Product ID],RANDBETWEEN(1,50))</f>
        <v>P006</v>
      </c>
      <c r="E84" t="str" cm="1">
        <f t="array" aca="1" ref="E84" ca="1">INDEX(Warehouses[Warehouse ID],RANDBETWEEN(1,8))</f>
        <v>W002</v>
      </c>
      <c r="F84">
        <f t="shared" ca="1" si="3"/>
        <v>8</v>
      </c>
      <c r="G84">
        <f ca="1">_xlfn.XLOOKUP(Orders[[#This Row],[Product ID]],Products[Product ID],Products[Selling Price])</f>
        <v>3500</v>
      </c>
      <c r="H84" s="6">
        <f t="shared" ca="1" si="4"/>
        <v>0.12</v>
      </c>
      <c r="I84">
        <f ca="1">Orders[[#This Row],[Quantity]]*Orders[[#This Row],[Unit Price]]*(1-Orders[[#This Row],[Discount%]])</f>
        <v>24640</v>
      </c>
      <c r="J84" t="str" cm="1">
        <f t="array" aca="1" ref="J84" ca="1">INDEX(PaymentMethods[Payment Method],RANDBETWEEN(1,5))</f>
        <v>Cash</v>
      </c>
    </row>
    <row r="85" spans="1:10" x14ac:dyDescent="0.3">
      <c r="A85" t="str">
        <f t="shared" si="5"/>
        <v>O0084</v>
      </c>
      <c r="B85" s="6">
        <f ca="1">Orders[[#This Row],[Discount%]]</f>
        <v>0.02</v>
      </c>
      <c r="C85" t="str" cm="1">
        <f t="array" aca="1" ref="C85" ca="1">INDEX(Customers[Customer ID],RANDBETWEEN(1,200))</f>
        <v>C022</v>
      </c>
      <c r="D85" t="str" cm="1">
        <f t="array" aca="1" ref="D85" ca="1">INDEX(Products[Product ID],RANDBETWEEN(1,50))</f>
        <v>P042</v>
      </c>
      <c r="E85" t="str" cm="1">
        <f t="array" aca="1" ref="E85" ca="1">INDEX(Warehouses[Warehouse ID],RANDBETWEEN(1,8))</f>
        <v>W008</v>
      </c>
      <c r="F85">
        <f t="shared" ca="1" si="3"/>
        <v>3</v>
      </c>
      <c r="G85">
        <f ca="1">_xlfn.XLOOKUP(Orders[[#This Row],[Product ID]],Products[Product ID],Products[Selling Price])</f>
        <v>29000</v>
      </c>
      <c r="H85" s="6">
        <f t="shared" ca="1" si="4"/>
        <v>0.02</v>
      </c>
      <c r="I85">
        <f ca="1">Orders[[#This Row],[Quantity]]*Orders[[#This Row],[Unit Price]]*(1-Orders[[#This Row],[Discount%]])</f>
        <v>85260</v>
      </c>
      <c r="J85" t="str" cm="1">
        <f t="array" aca="1" ref="J85" ca="1">INDEX(PaymentMethods[Payment Method],RANDBETWEEN(1,5))</f>
        <v>Credit Card</v>
      </c>
    </row>
    <row r="86" spans="1:10" x14ac:dyDescent="0.3">
      <c r="A86" t="str">
        <f t="shared" si="5"/>
        <v>O0085</v>
      </c>
      <c r="B86" s="6">
        <f ca="1">Orders[[#This Row],[Discount%]]</f>
        <v>0.16</v>
      </c>
      <c r="C86" t="str" cm="1">
        <f t="array" aca="1" ref="C86" ca="1">INDEX(Customers[Customer ID],RANDBETWEEN(1,200))</f>
        <v>C094</v>
      </c>
      <c r="D86" t="str" cm="1">
        <f t="array" aca="1" ref="D86" ca="1">INDEX(Products[Product ID],RANDBETWEEN(1,50))</f>
        <v>P007</v>
      </c>
      <c r="E86" t="str" cm="1">
        <f t="array" aca="1" ref="E86" ca="1">INDEX(Warehouses[Warehouse ID],RANDBETWEEN(1,8))</f>
        <v>W008</v>
      </c>
      <c r="F86">
        <f t="shared" ca="1" si="3"/>
        <v>2</v>
      </c>
      <c r="G86">
        <f ca="1">_xlfn.XLOOKUP(Orders[[#This Row],[Product ID]],Products[Product ID],Products[Selling Price])</f>
        <v>6000</v>
      </c>
      <c r="H86" s="6">
        <f t="shared" ca="1" si="4"/>
        <v>0.16</v>
      </c>
      <c r="I86">
        <f ca="1">Orders[[#This Row],[Quantity]]*Orders[[#This Row],[Unit Price]]*(1-Orders[[#This Row],[Discount%]])</f>
        <v>10080</v>
      </c>
      <c r="J86" t="str" cm="1">
        <f t="array" aca="1" ref="J86" ca="1">INDEX(PaymentMethods[Payment Method],RANDBETWEEN(1,5))</f>
        <v>Net Banking</v>
      </c>
    </row>
    <row r="87" spans="1:10" x14ac:dyDescent="0.3">
      <c r="A87" t="str">
        <f t="shared" si="5"/>
        <v>O0086</v>
      </c>
      <c r="B87" s="6">
        <f ca="1">Orders[[#This Row],[Discount%]]</f>
        <v>0.17</v>
      </c>
      <c r="C87" t="str" cm="1">
        <f t="array" aca="1" ref="C87" ca="1">INDEX(Customers[Customer ID],RANDBETWEEN(1,200))</f>
        <v>C160</v>
      </c>
      <c r="D87" t="str" cm="1">
        <f t="array" aca="1" ref="D87" ca="1">INDEX(Products[Product ID],RANDBETWEEN(1,50))</f>
        <v>P021</v>
      </c>
      <c r="E87" t="str" cm="1">
        <f t="array" aca="1" ref="E87" ca="1">INDEX(Warehouses[Warehouse ID],RANDBETWEEN(1,8))</f>
        <v>W002</v>
      </c>
      <c r="F87">
        <f t="shared" ca="1" si="3"/>
        <v>7</v>
      </c>
      <c r="G87">
        <f ca="1">_xlfn.XLOOKUP(Orders[[#This Row],[Product ID]],Products[Product ID],Products[Selling Price])</f>
        <v>22000</v>
      </c>
      <c r="H87" s="6">
        <f t="shared" ca="1" si="4"/>
        <v>0.17</v>
      </c>
      <c r="I87">
        <f ca="1">Orders[[#This Row],[Quantity]]*Orders[[#This Row],[Unit Price]]*(1-Orders[[#This Row],[Discount%]])</f>
        <v>127820</v>
      </c>
      <c r="J87" t="str" cm="1">
        <f t="array" aca="1" ref="J87" ca="1">INDEX(PaymentMethods[Payment Method],RANDBETWEEN(1,5))</f>
        <v>Net Banking</v>
      </c>
    </row>
    <row r="88" spans="1:10" x14ac:dyDescent="0.3">
      <c r="A88" t="str">
        <f t="shared" si="5"/>
        <v>O0087</v>
      </c>
      <c r="B88" s="6">
        <f ca="1">Orders[[#This Row],[Discount%]]</f>
        <v>0.05</v>
      </c>
      <c r="C88" t="str" cm="1">
        <f t="array" aca="1" ref="C88" ca="1">INDEX(Customers[Customer ID],RANDBETWEEN(1,200))</f>
        <v>C069</v>
      </c>
      <c r="D88" t="str" cm="1">
        <f t="array" aca="1" ref="D88" ca="1">INDEX(Products[Product ID],RANDBETWEEN(1,50))</f>
        <v>P031</v>
      </c>
      <c r="E88" t="str" cm="1">
        <f t="array" aca="1" ref="E88" ca="1">INDEX(Warehouses[Warehouse ID],RANDBETWEEN(1,8))</f>
        <v>W001</v>
      </c>
      <c r="F88">
        <f t="shared" ca="1" si="3"/>
        <v>7</v>
      </c>
      <c r="G88">
        <f ca="1">_xlfn.XLOOKUP(Orders[[#This Row],[Product ID]],Products[Product ID],Products[Selling Price])</f>
        <v>90</v>
      </c>
      <c r="H88" s="6">
        <f t="shared" ca="1" si="4"/>
        <v>0.05</v>
      </c>
      <c r="I88">
        <f ca="1">Orders[[#This Row],[Quantity]]*Orders[[#This Row],[Unit Price]]*(1-Orders[[#This Row],[Discount%]])</f>
        <v>598.5</v>
      </c>
      <c r="J88" t="str" cm="1">
        <f t="array" aca="1" ref="J88" ca="1">INDEX(PaymentMethods[Payment Method],RANDBETWEEN(1,5))</f>
        <v>Cash</v>
      </c>
    </row>
    <row r="89" spans="1:10" x14ac:dyDescent="0.3">
      <c r="A89" t="str">
        <f t="shared" si="5"/>
        <v>O0088</v>
      </c>
      <c r="B89" s="6">
        <f ca="1">Orders[[#This Row],[Discount%]]</f>
        <v>0.18</v>
      </c>
      <c r="C89" t="str" cm="1">
        <f t="array" aca="1" ref="C89" ca="1">INDEX(Customers[Customer ID],RANDBETWEEN(1,200))</f>
        <v>C092</v>
      </c>
      <c r="D89" t="str" cm="1">
        <f t="array" aca="1" ref="D89" ca="1">INDEX(Products[Product ID],RANDBETWEEN(1,50))</f>
        <v>P043</v>
      </c>
      <c r="E89" t="str" cm="1">
        <f t="array" aca="1" ref="E89" ca="1">INDEX(Warehouses[Warehouse ID],RANDBETWEEN(1,8))</f>
        <v>W004</v>
      </c>
      <c r="F89">
        <f t="shared" ca="1" si="3"/>
        <v>6</v>
      </c>
      <c r="G89">
        <f ca="1">_xlfn.XLOOKUP(Orders[[#This Row],[Product ID]],Products[Product ID],Products[Selling Price])</f>
        <v>24500</v>
      </c>
      <c r="H89" s="6">
        <f t="shared" ca="1" si="4"/>
        <v>0.18</v>
      </c>
      <c r="I89">
        <f ca="1">Orders[[#This Row],[Quantity]]*Orders[[#This Row],[Unit Price]]*(1-Orders[[#This Row],[Discount%]])</f>
        <v>120540.00000000001</v>
      </c>
      <c r="J89" t="str" cm="1">
        <f t="array" aca="1" ref="J89" ca="1">INDEX(PaymentMethods[Payment Method],RANDBETWEEN(1,5))</f>
        <v>Credit Card</v>
      </c>
    </row>
    <row r="90" spans="1:10" x14ac:dyDescent="0.3">
      <c r="A90" t="str">
        <f t="shared" si="5"/>
        <v>O0089</v>
      </c>
      <c r="B90" s="6">
        <f ca="1">Orders[[#This Row],[Discount%]]</f>
        <v>0.2</v>
      </c>
      <c r="C90" t="str" cm="1">
        <f t="array" aca="1" ref="C90" ca="1">INDEX(Customers[Customer ID],RANDBETWEEN(1,200))</f>
        <v>C069</v>
      </c>
      <c r="D90" t="str" cm="1">
        <f t="array" aca="1" ref="D90" ca="1">INDEX(Products[Product ID],RANDBETWEEN(1,50))</f>
        <v>P032</v>
      </c>
      <c r="E90" t="str" cm="1">
        <f t="array" aca="1" ref="E90" ca="1">INDEX(Warehouses[Warehouse ID],RANDBETWEEN(1,8))</f>
        <v>W001</v>
      </c>
      <c r="F90">
        <f t="shared" ca="1" si="3"/>
        <v>10</v>
      </c>
      <c r="G90">
        <f ca="1">_xlfn.XLOOKUP(Orders[[#This Row],[Product ID]],Products[Product ID],Products[Selling Price])</f>
        <v>220</v>
      </c>
      <c r="H90" s="6">
        <f t="shared" ca="1" si="4"/>
        <v>0.2</v>
      </c>
      <c r="I90">
        <f ca="1">Orders[[#This Row],[Quantity]]*Orders[[#This Row],[Unit Price]]*(1-Orders[[#This Row],[Discount%]])</f>
        <v>1760</v>
      </c>
      <c r="J90" t="str" cm="1">
        <f t="array" aca="1" ref="J90" ca="1">INDEX(PaymentMethods[Payment Method],RANDBETWEEN(1,5))</f>
        <v>Cash</v>
      </c>
    </row>
    <row r="91" spans="1:10" x14ac:dyDescent="0.3">
      <c r="A91" t="str">
        <f t="shared" si="5"/>
        <v>O0090</v>
      </c>
      <c r="B91" s="6">
        <f ca="1">Orders[[#This Row],[Discount%]]</f>
        <v>0.16</v>
      </c>
      <c r="C91" t="str" cm="1">
        <f t="array" aca="1" ref="C91" ca="1">INDEX(Customers[Customer ID],RANDBETWEEN(1,200))</f>
        <v>C065</v>
      </c>
      <c r="D91" t="str" cm="1">
        <f t="array" aca="1" ref="D91" ca="1">INDEX(Products[Product ID],RANDBETWEEN(1,50))</f>
        <v>P021</v>
      </c>
      <c r="E91" t="str" cm="1">
        <f t="array" aca="1" ref="E91" ca="1">INDEX(Warehouses[Warehouse ID],RANDBETWEEN(1,8))</f>
        <v>W001</v>
      </c>
      <c r="F91">
        <f t="shared" ca="1" si="3"/>
        <v>6</v>
      </c>
      <c r="G91">
        <f ca="1">_xlfn.XLOOKUP(Orders[[#This Row],[Product ID]],Products[Product ID],Products[Selling Price])</f>
        <v>22000</v>
      </c>
      <c r="H91" s="6">
        <f t="shared" ca="1" si="4"/>
        <v>0.16</v>
      </c>
      <c r="I91">
        <f ca="1">Orders[[#This Row],[Quantity]]*Orders[[#This Row],[Unit Price]]*(1-Orders[[#This Row],[Discount%]])</f>
        <v>110880</v>
      </c>
      <c r="J91" t="str" cm="1">
        <f t="array" aca="1" ref="J91" ca="1">INDEX(PaymentMethods[Payment Method],RANDBETWEEN(1,5))</f>
        <v>Cash</v>
      </c>
    </row>
    <row r="92" spans="1:10" x14ac:dyDescent="0.3">
      <c r="A92" t="str">
        <f t="shared" si="5"/>
        <v>O0091</v>
      </c>
      <c r="B92" s="6">
        <f ca="1">Orders[[#This Row],[Discount%]]</f>
        <v>7.0000000000000007E-2</v>
      </c>
      <c r="C92" t="str" cm="1">
        <f t="array" aca="1" ref="C92" ca="1">INDEX(Customers[Customer ID],RANDBETWEEN(1,200))</f>
        <v>C044</v>
      </c>
      <c r="D92" t="str" cm="1">
        <f t="array" aca="1" ref="D92" ca="1">INDEX(Products[Product ID],RANDBETWEEN(1,50))</f>
        <v>P025</v>
      </c>
      <c r="E92" t="str" cm="1">
        <f t="array" aca="1" ref="E92" ca="1">INDEX(Warehouses[Warehouse ID],RANDBETWEEN(1,8))</f>
        <v>W003</v>
      </c>
      <c r="F92">
        <f t="shared" ca="1" si="3"/>
        <v>6</v>
      </c>
      <c r="G92">
        <f ca="1">_xlfn.XLOOKUP(Orders[[#This Row],[Product ID]],Products[Product ID],Products[Selling Price])</f>
        <v>1800</v>
      </c>
      <c r="H92" s="6">
        <f t="shared" ca="1" si="4"/>
        <v>7.0000000000000007E-2</v>
      </c>
      <c r="I92">
        <f ca="1">Orders[[#This Row],[Quantity]]*Orders[[#This Row],[Unit Price]]*(1-Orders[[#This Row],[Discount%]])</f>
        <v>10044</v>
      </c>
      <c r="J92" t="str" cm="1">
        <f t="array" aca="1" ref="J92" ca="1">INDEX(PaymentMethods[Payment Method],RANDBETWEEN(1,5))</f>
        <v>Credit Card</v>
      </c>
    </row>
    <row r="93" spans="1:10" x14ac:dyDescent="0.3">
      <c r="A93" t="str">
        <f t="shared" si="5"/>
        <v>O0092</v>
      </c>
      <c r="B93" s="6">
        <f ca="1">Orders[[#This Row],[Discount%]]</f>
        <v>0.13</v>
      </c>
      <c r="C93" t="str" cm="1">
        <f t="array" aca="1" ref="C93" ca="1">INDEX(Customers[Customer ID],RANDBETWEEN(1,200))</f>
        <v>C128</v>
      </c>
      <c r="D93" t="str" cm="1">
        <f t="array" aca="1" ref="D93" ca="1">INDEX(Products[Product ID],RANDBETWEEN(1,50))</f>
        <v>P043</v>
      </c>
      <c r="E93" t="str" cm="1">
        <f t="array" aca="1" ref="E93" ca="1">INDEX(Warehouses[Warehouse ID],RANDBETWEEN(1,8))</f>
        <v>W005</v>
      </c>
      <c r="F93">
        <f t="shared" ca="1" si="3"/>
        <v>4</v>
      </c>
      <c r="G93">
        <f ca="1">_xlfn.XLOOKUP(Orders[[#This Row],[Product ID]],Products[Product ID],Products[Selling Price])</f>
        <v>24500</v>
      </c>
      <c r="H93" s="6">
        <f t="shared" ca="1" si="4"/>
        <v>0.13</v>
      </c>
      <c r="I93">
        <f ca="1">Orders[[#This Row],[Quantity]]*Orders[[#This Row],[Unit Price]]*(1-Orders[[#This Row],[Discount%]])</f>
        <v>85260</v>
      </c>
      <c r="J93" t="str" cm="1">
        <f t="array" aca="1" ref="J93" ca="1">INDEX(PaymentMethods[Payment Method],RANDBETWEEN(1,5))</f>
        <v>Debit Card</v>
      </c>
    </row>
    <row r="94" spans="1:10" x14ac:dyDescent="0.3">
      <c r="A94" t="str">
        <f t="shared" si="5"/>
        <v>O0093</v>
      </c>
      <c r="B94" s="6">
        <f ca="1">Orders[[#This Row],[Discount%]]</f>
        <v>0.1</v>
      </c>
      <c r="C94" t="str" cm="1">
        <f t="array" aca="1" ref="C94" ca="1">INDEX(Customers[Customer ID],RANDBETWEEN(1,200))</f>
        <v>C197</v>
      </c>
      <c r="D94" t="str" cm="1">
        <f t="array" aca="1" ref="D94" ca="1">INDEX(Products[Product ID],RANDBETWEEN(1,50))</f>
        <v>P041</v>
      </c>
      <c r="E94" t="str" cm="1">
        <f t="array" aca="1" ref="E94" ca="1">INDEX(Warehouses[Warehouse ID],RANDBETWEEN(1,8))</f>
        <v>W001</v>
      </c>
      <c r="F94">
        <f t="shared" ca="1" si="3"/>
        <v>7</v>
      </c>
      <c r="G94">
        <f ca="1">_xlfn.XLOOKUP(Orders[[#This Row],[Product ID]],Products[Product ID],Products[Selling Price])</f>
        <v>36000</v>
      </c>
      <c r="H94" s="6">
        <f t="shared" ca="1" si="4"/>
        <v>0.1</v>
      </c>
      <c r="I94">
        <f ca="1">Orders[[#This Row],[Quantity]]*Orders[[#This Row],[Unit Price]]*(1-Orders[[#This Row],[Discount%]])</f>
        <v>226800</v>
      </c>
      <c r="J94" t="str" cm="1">
        <f t="array" aca="1" ref="J94" ca="1">INDEX(PaymentMethods[Payment Method],RANDBETWEEN(1,5))</f>
        <v>Debit Card</v>
      </c>
    </row>
    <row r="95" spans="1:10" x14ac:dyDescent="0.3">
      <c r="A95" t="str">
        <f t="shared" si="5"/>
        <v>O0094</v>
      </c>
      <c r="B95" s="6">
        <f ca="1">Orders[[#This Row],[Discount%]]</f>
        <v>0.17</v>
      </c>
      <c r="C95" t="str" cm="1">
        <f t="array" aca="1" ref="C95" ca="1">INDEX(Customers[Customer ID],RANDBETWEEN(1,200))</f>
        <v>C095</v>
      </c>
      <c r="D95" t="str" cm="1">
        <f t="array" aca="1" ref="D95" ca="1">INDEX(Products[Product ID],RANDBETWEEN(1,50))</f>
        <v>P039</v>
      </c>
      <c r="E95" t="str" cm="1">
        <f t="array" aca="1" ref="E95" ca="1">INDEX(Warehouses[Warehouse ID],RANDBETWEEN(1,8))</f>
        <v>W005</v>
      </c>
      <c r="F95">
        <f t="shared" ca="1" si="3"/>
        <v>9</v>
      </c>
      <c r="G95">
        <f ca="1">_xlfn.XLOOKUP(Orders[[#This Row],[Product ID]],Products[Product ID],Products[Selling Price])</f>
        <v>250</v>
      </c>
      <c r="H95" s="6">
        <f t="shared" ca="1" si="4"/>
        <v>0.17</v>
      </c>
      <c r="I95">
        <f ca="1">Orders[[#This Row],[Quantity]]*Orders[[#This Row],[Unit Price]]*(1-Orders[[#This Row],[Discount%]])</f>
        <v>1867.5</v>
      </c>
      <c r="J95" t="str" cm="1">
        <f t="array" aca="1" ref="J95" ca="1">INDEX(PaymentMethods[Payment Method],RANDBETWEEN(1,5))</f>
        <v>Net Banking</v>
      </c>
    </row>
    <row r="96" spans="1:10" x14ac:dyDescent="0.3">
      <c r="A96" t="str">
        <f t="shared" si="5"/>
        <v>O0095</v>
      </c>
      <c r="B96" s="6">
        <f ca="1">Orders[[#This Row],[Discount%]]</f>
        <v>0.09</v>
      </c>
      <c r="C96" t="str" cm="1">
        <f t="array" aca="1" ref="C96" ca="1">INDEX(Customers[Customer ID],RANDBETWEEN(1,200))</f>
        <v>C039</v>
      </c>
      <c r="D96" t="str" cm="1">
        <f t="array" aca="1" ref="D96" ca="1">INDEX(Products[Product ID],RANDBETWEEN(1,50))</f>
        <v>P011</v>
      </c>
      <c r="E96" t="str" cm="1">
        <f t="array" aca="1" ref="E96" ca="1">INDEX(Warehouses[Warehouse ID],RANDBETWEEN(1,8))</f>
        <v>W001</v>
      </c>
      <c r="F96">
        <f t="shared" ca="1" si="3"/>
        <v>4</v>
      </c>
      <c r="G96">
        <f ca="1">_xlfn.XLOOKUP(Orders[[#This Row],[Product ID]],Products[Product ID],Products[Selling Price])</f>
        <v>1200</v>
      </c>
      <c r="H96" s="6">
        <f t="shared" ca="1" si="4"/>
        <v>0.09</v>
      </c>
      <c r="I96">
        <f ca="1">Orders[[#This Row],[Quantity]]*Orders[[#This Row],[Unit Price]]*(1-Orders[[#This Row],[Discount%]])</f>
        <v>4368</v>
      </c>
      <c r="J96" t="str" cm="1">
        <f t="array" aca="1" ref="J96" ca="1">INDEX(PaymentMethods[Payment Method],RANDBETWEEN(1,5))</f>
        <v>Debit Card</v>
      </c>
    </row>
    <row r="97" spans="1:10" x14ac:dyDescent="0.3">
      <c r="A97" t="str">
        <f t="shared" si="5"/>
        <v>O0096</v>
      </c>
      <c r="B97" s="6">
        <f ca="1">Orders[[#This Row],[Discount%]]</f>
        <v>0.18</v>
      </c>
      <c r="C97" t="str" cm="1">
        <f t="array" aca="1" ref="C97" ca="1">INDEX(Customers[Customer ID],RANDBETWEEN(1,200))</f>
        <v>C009</v>
      </c>
      <c r="D97" t="str" cm="1">
        <f t="array" aca="1" ref="D97" ca="1">INDEX(Products[Product ID],RANDBETWEEN(1,50))</f>
        <v>P003</v>
      </c>
      <c r="E97" t="str" cm="1">
        <f t="array" aca="1" ref="E97" ca="1">INDEX(Warehouses[Warehouse ID],RANDBETWEEN(1,8))</f>
        <v>W003</v>
      </c>
      <c r="F97">
        <f t="shared" ca="1" si="3"/>
        <v>9</v>
      </c>
      <c r="G97">
        <f ca="1">_xlfn.XLOOKUP(Orders[[#This Row],[Product ID]],Products[Product ID],Products[Selling Price])</f>
        <v>900</v>
      </c>
      <c r="H97" s="6">
        <f t="shared" ca="1" si="4"/>
        <v>0.18</v>
      </c>
      <c r="I97">
        <f ca="1">Orders[[#This Row],[Quantity]]*Orders[[#This Row],[Unit Price]]*(1-Orders[[#This Row],[Discount%]])</f>
        <v>6642.0000000000009</v>
      </c>
      <c r="J97" t="str" cm="1">
        <f t="array" aca="1" ref="J97" ca="1">INDEX(PaymentMethods[Payment Method],RANDBETWEEN(1,5))</f>
        <v>Credit Card</v>
      </c>
    </row>
    <row r="98" spans="1:10" x14ac:dyDescent="0.3">
      <c r="A98" t="str">
        <f t="shared" si="5"/>
        <v>O0097</v>
      </c>
      <c r="B98" s="6">
        <f ca="1">Orders[[#This Row],[Discount%]]</f>
        <v>0.14000000000000001</v>
      </c>
      <c r="C98" t="str" cm="1">
        <f t="array" aca="1" ref="C98" ca="1">INDEX(Customers[Customer ID],RANDBETWEEN(1,200))</f>
        <v>C157</v>
      </c>
      <c r="D98" t="str" cm="1">
        <f t="array" aca="1" ref="D98" ca="1">INDEX(Products[Product ID],RANDBETWEEN(1,50))</f>
        <v>P033</v>
      </c>
      <c r="E98" t="str" cm="1">
        <f t="array" aca="1" ref="E98" ca="1">INDEX(Warehouses[Warehouse ID],RANDBETWEEN(1,8))</f>
        <v>W004</v>
      </c>
      <c r="F98">
        <f t="shared" ca="1" si="3"/>
        <v>7</v>
      </c>
      <c r="G98">
        <f ca="1">_xlfn.XLOOKUP(Orders[[#This Row],[Product ID]],Products[Product ID],Products[Selling Price])</f>
        <v>180</v>
      </c>
      <c r="H98" s="6">
        <f t="shared" ca="1" si="4"/>
        <v>0.14000000000000001</v>
      </c>
      <c r="I98">
        <f ca="1">Orders[[#This Row],[Quantity]]*Orders[[#This Row],[Unit Price]]*(1-Orders[[#This Row],[Discount%]])</f>
        <v>1083.5999999999999</v>
      </c>
      <c r="J98" t="str" cm="1">
        <f t="array" aca="1" ref="J98" ca="1">INDEX(PaymentMethods[Payment Method],RANDBETWEEN(1,5))</f>
        <v>UPI</v>
      </c>
    </row>
    <row r="99" spans="1:10" x14ac:dyDescent="0.3">
      <c r="A99" t="str">
        <f t="shared" si="5"/>
        <v>O0098</v>
      </c>
      <c r="B99" s="6">
        <f ca="1">Orders[[#This Row],[Discount%]]</f>
        <v>0.12</v>
      </c>
      <c r="C99" t="str" cm="1">
        <f t="array" aca="1" ref="C99" ca="1">INDEX(Customers[Customer ID],RANDBETWEEN(1,200))</f>
        <v>C173</v>
      </c>
      <c r="D99" t="str" cm="1">
        <f t="array" aca="1" ref="D99" ca="1">INDEX(Products[Product ID],RANDBETWEEN(1,50))</f>
        <v>P043</v>
      </c>
      <c r="E99" t="str" cm="1">
        <f t="array" aca="1" ref="E99" ca="1">INDEX(Warehouses[Warehouse ID],RANDBETWEEN(1,8))</f>
        <v>W006</v>
      </c>
      <c r="F99">
        <f t="shared" ca="1" si="3"/>
        <v>9</v>
      </c>
      <c r="G99">
        <f ca="1">_xlfn.XLOOKUP(Orders[[#This Row],[Product ID]],Products[Product ID],Products[Selling Price])</f>
        <v>24500</v>
      </c>
      <c r="H99" s="6">
        <f t="shared" ca="1" si="4"/>
        <v>0.12</v>
      </c>
      <c r="I99">
        <f ca="1">Orders[[#This Row],[Quantity]]*Orders[[#This Row],[Unit Price]]*(1-Orders[[#This Row],[Discount%]])</f>
        <v>194040</v>
      </c>
      <c r="J99" t="str" cm="1">
        <f t="array" aca="1" ref="J99" ca="1">INDEX(PaymentMethods[Payment Method],RANDBETWEEN(1,5))</f>
        <v>Cash</v>
      </c>
    </row>
    <row r="100" spans="1:10" x14ac:dyDescent="0.3">
      <c r="A100" t="str">
        <f t="shared" si="5"/>
        <v>O0099</v>
      </c>
      <c r="B100" s="6">
        <f ca="1">Orders[[#This Row],[Discount%]]</f>
        <v>7.0000000000000007E-2</v>
      </c>
      <c r="C100" t="str" cm="1">
        <f t="array" aca="1" ref="C100" ca="1">INDEX(Customers[Customer ID],RANDBETWEEN(1,200))</f>
        <v>C174</v>
      </c>
      <c r="D100" t="str" cm="1">
        <f t="array" aca="1" ref="D100" ca="1">INDEX(Products[Product ID],RANDBETWEEN(1,50))</f>
        <v>P049</v>
      </c>
      <c r="E100" t="str" cm="1">
        <f t="array" aca="1" ref="E100" ca="1">INDEX(Warehouses[Warehouse ID],RANDBETWEEN(1,8))</f>
        <v>W007</v>
      </c>
      <c r="F100">
        <f t="shared" ca="1" si="3"/>
        <v>5</v>
      </c>
      <c r="G100">
        <f ca="1">_xlfn.XLOOKUP(Orders[[#This Row],[Product ID]],Products[Product ID],Products[Selling Price])</f>
        <v>3800</v>
      </c>
      <c r="H100" s="6">
        <f t="shared" ca="1" si="4"/>
        <v>7.0000000000000007E-2</v>
      </c>
      <c r="I100">
        <f ca="1">Orders[[#This Row],[Quantity]]*Orders[[#This Row],[Unit Price]]*(1-Orders[[#This Row],[Discount%]])</f>
        <v>17670</v>
      </c>
      <c r="J100" t="str" cm="1">
        <f t="array" aca="1" ref="J100" ca="1">INDEX(PaymentMethods[Payment Method],RANDBETWEEN(1,5))</f>
        <v>Credit Card</v>
      </c>
    </row>
    <row r="101" spans="1:10" x14ac:dyDescent="0.3">
      <c r="A101" t="str">
        <f t="shared" si="5"/>
        <v>O0100</v>
      </c>
      <c r="B101" s="6">
        <f ca="1">Orders[[#This Row],[Discount%]]</f>
        <v>0.03</v>
      </c>
      <c r="C101" t="str" cm="1">
        <f t="array" aca="1" ref="C101" ca="1">INDEX(Customers[Customer ID],RANDBETWEEN(1,200))</f>
        <v>C116</v>
      </c>
      <c r="D101" t="str" cm="1">
        <f t="array" aca="1" ref="D101" ca="1">INDEX(Products[Product ID],RANDBETWEEN(1,50))</f>
        <v>P017</v>
      </c>
      <c r="E101" t="str" cm="1">
        <f t="array" aca="1" ref="E101" ca="1">INDEX(Warehouses[Warehouse ID],RANDBETWEEN(1,8))</f>
        <v>W007</v>
      </c>
      <c r="F101">
        <f t="shared" ca="1" si="3"/>
        <v>10</v>
      </c>
      <c r="G101">
        <f ca="1">_xlfn.XLOOKUP(Orders[[#This Row],[Product ID]],Products[Product ID],Products[Selling Price])</f>
        <v>650</v>
      </c>
      <c r="H101" s="6">
        <f t="shared" ca="1" si="4"/>
        <v>0.03</v>
      </c>
      <c r="I101">
        <f ca="1">Orders[[#This Row],[Quantity]]*Orders[[#This Row],[Unit Price]]*(1-Orders[[#This Row],[Discount%]])</f>
        <v>6305</v>
      </c>
      <c r="J101" t="str" cm="1">
        <f t="array" aca="1" ref="J101" ca="1">INDEX(PaymentMethods[Payment Method],RANDBETWEEN(1,5))</f>
        <v>Net Banking</v>
      </c>
    </row>
    <row r="102" spans="1:10" x14ac:dyDescent="0.3">
      <c r="A102" t="str">
        <f t="shared" si="5"/>
        <v>O0101</v>
      </c>
      <c r="B102" s="6">
        <f ca="1">Orders[[#This Row],[Discount%]]</f>
        <v>0.16</v>
      </c>
      <c r="C102" t="str" cm="1">
        <f t="array" aca="1" ref="C102" ca="1">INDEX(Customers[Customer ID],RANDBETWEEN(1,200))</f>
        <v>C127</v>
      </c>
      <c r="D102" t="str" cm="1">
        <f t="array" aca="1" ref="D102" ca="1">INDEX(Products[Product ID],RANDBETWEEN(1,50))</f>
        <v>P036</v>
      </c>
      <c r="E102" t="str" cm="1">
        <f t="array" aca="1" ref="E102" ca="1">INDEX(Warehouses[Warehouse ID],RANDBETWEEN(1,8))</f>
        <v>W008</v>
      </c>
      <c r="F102">
        <f t="shared" ca="1" si="3"/>
        <v>7</v>
      </c>
      <c r="G102">
        <f ca="1">_xlfn.XLOOKUP(Orders[[#This Row],[Product ID]],Products[Product ID],Products[Selling Price])</f>
        <v>450</v>
      </c>
      <c r="H102" s="6">
        <f t="shared" ca="1" si="4"/>
        <v>0.16</v>
      </c>
      <c r="I102">
        <f ca="1">Orders[[#This Row],[Quantity]]*Orders[[#This Row],[Unit Price]]*(1-Orders[[#This Row],[Discount%]])</f>
        <v>2646</v>
      </c>
      <c r="J102" t="str" cm="1">
        <f t="array" aca="1" ref="J102" ca="1">INDEX(PaymentMethods[Payment Method],RANDBETWEEN(1,5))</f>
        <v>Debit Card</v>
      </c>
    </row>
    <row r="103" spans="1:10" x14ac:dyDescent="0.3">
      <c r="A103" t="str">
        <f t="shared" si="5"/>
        <v>O0102</v>
      </c>
      <c r="B103" s="6">
        <f ca="1">Orders[[#This Row],[Discount%]]</f>
        <v>0.03</v>
      </c>
      <c r="C103" t="str" cm="1">
        <f t="array" aca="1" ref="C103" ca="1">INDEX(Customers[Customer ID],RANDBETWEEN(1,200))</f>
        <v>C187</v>
      </c>
      <c r="D103" t="str" cm="1">
        <f t="array" aca="1" ref="D103" ca="1">INDEX(Products[Product ID],RANDBETWEEN(1,50))</f>
        <v>P007</v>
      </c>
      <c r="E103" t="str" cm="1">
        <f t="array" aca="1" ref="E103" ca="1">INDEX(Warehouses[Warehouse ID],RANDBETWEEN(1,8))</f>
        <v>W008</v>
      </c>
      <c r="F103">
        <f t="shared" ca="1" si="3"/>
        <v>6</v>
      </c>
      <c r="G103">
        <f ca="1">_xlfn.XLOOKUP(Orders[[#This Row],[Product ID]],Products[Product ID],Products[Selling Price])</f>
        <v>6000</v>
      </c>
      <c r="H103" s="6">
        <f t="shared" ca="1" si="4"/>
        <v>0.03</v>
      </c>
      <c r="I103">
        <f ca="1">Orders[[#This Row],[Quantity]]*Orders[[#This Row],[Unit Price]]*(1-Orders[[#This Row],[Discount%]])</f>
        <v>34920</v>
      </c>
      <c r="J103" t="str" cm="1">
        <f t="array" aca="1" ref="J103" ca="1">INDEX(PaymentMethods[Payment Method],RANDBETWEEN(1,5))</f>
        <v>Debit Card</v>
      </c>
    </row>
    <row r="104" spans="1:10" x14ac:dyDescent="0.3">
      <c r="A104" t="str">
        <f t="shared" si="5"/>
        <v>O0103</v>
      </c>
      <c r="B104" s="6">
        <f ca="1">Orders[[#This Row],[Discount%]]</f>
        <v>0.1</v>
      </c>
      <c r="C104" t="str" cm="1">
        <f t="array" aca="1" ref="C104" ca="1">INDEX(Customers[Customer ID],RANDBETWEEN(1,200))</f>
        <v>C119</v>
      </c>
      <c r="D104" t="str" cm="1">
        <f t="array" aca="1" ref="D104" ca="1">INDEX(Products[Product ID],RANDBETWEEN(1,50))</f>
        <v>P015</v>
      </c>
      <c r="E104" t="str" cm="1">
        <f t="array" aca="1" ref="E104" ca="1">INDEX(Warehouses[Warehouse ID],RANDBETWEEN(1,8))</f>
        <v>W007</v>
      </c>
      <c r="F104">
        <f t="shared" ca="1" si="3"/>
        <v>10</v>
      </c>
      <c r="G104">
        <f ca="1">_xlfn.XLOOKUP(Orders[[#This Row],[Product ID]],Products[Product ID],Products[Selling Price])</f>
        <v>1800</v>
      </c>
      <c r="H104" s="6">
        <f t="shared" ca="1" si="4"/>
        <v>0.1</v>
      </c>
      <c r="I104">
        <f ca="1">Orders[[#This Row],[Quantity]]*Orders[[#This Row],[Unit Price]]*(1-Orders[[#This Row],[Discount%]])</f>
        <v>16200</v>
      </c>
      <c r="J104" t="str" cm="1">
        <f t="array" aca="1" ref="J104" ca="1">INDEX(PaymentMethods[Payment Method],RANDBETWEEN(1,5))</f>
        <v>Net Banking</v>
      </c>
    </row>
    <row r="105" spans="1:10" x14ac:dyDescent="0.3">
      <c r="A105" t="str">
        <f t="shared" si="5"/>
        <v>O0104</v>
      </c>
      <c r="B105" s="6">
        <f ca="1">Orders[[#This Row],[Discount%]]</f>
        <v>0.19</v>
      </c>
      <c r="C105" t="str" cm="1">
        <f t="array" aca="1" ref="C105" ca="1">INDEX(Customers[Customer ID],RANDBETWEEN(1,200))</f>
        <v>C192</v>
      </c>
      <c r="D105" t="str" cm="1">
        <f t="array" aca="1" ref="D105" ca="1">INDEX(Products[Product ID],RANDBETWEEN(1,50))</f>
        <v>P050</v>
      </c>
      <c r="E105" t="str" cm="1">
        <f t="array" aca="1" ref="E105" ca="1">INDEX(Warehouses[Warehouse ID],RANDBETWEEN(1,8))</f>
        <v>W005</v>
      </c>
      <c r="F105">
        <f t="shared" ca="1" si="3"/>
        <v>6</v>
      </c>
      <c r="G105">
        <f ca="1">_xlfn.XLOOKUP(Orders[[#This Row],[Product ID]],Products[Product ID],Products[Selling Price])</f>
        <v>12000</v>
      </c>
      <c r="H105" s="6">
        <f t="shared" ca="1" si="4"/>
        <v>0.19</v>
      </c>
      <c r="I105">
        <f ca="1">Orders[[#This Row],[Quantity]]*Orders[[#This Row],[Unit Price]]*(1-Orders[[#This Row],[Discount%]])</f>
        <v>58320.000000000007</v>
      </c>
      <c r="J105" t="str" cm="1">
        <f t="array" aca="1" ref="J105" ca="1">INDEX(PaymentMethods[Payment Method],RANDBETWEEN(1,5))</f>
        <v>Net Banking</v>
      </c>
    </row>
    <row r="106" spans="1:10" x14ac:dyDescent="0.3">
      <c r="A106" t="str">
        <f t="shared" si="5"/>
        <v>O0105</v>
      </c>
      <c r="B106" s="6">
        <f ca="1">Orders[[#This Row],[Discount%]]</f>
        <v>0.17</v>
      </c>
      <c r="C106" t="str" cm="1">
        <f t="array" aca="1" ref="C106" ca="1">INDEX(Customers[Customer ID],RANDBETWEEN(1,200))</f>
        <v>C132</v>
      </c>
      <c r="D106" t="str" cm="1">
        <f t="array" aca="1" ref="D106" ca="1">INDEX(Products[Product ID],RANDBETWEEN(1,50))</f>
        <v>P010</v>
      </c>
      <c r="E106" t="str" cm="1">
        <f t="array" aca="1" ref="E106" ca="1">INDEX(Warehouses[Warehouse ID],RANDBETWEEN(1,8))</f>
        <v>W001</v>
      </c>
      <c r="F106">
        <f t="shared" ca="1" si="3"/>
        <v>7</v>
      </c>
      <c r="G106">
        <f ca="1">_xlfn.XLOOKUP(Orders[[#This Row],[Product ID]],Products[Product ID],Products[Selling Price])</f>
        <v>250</v>
      </c>
      <c r="H106" s="6">
        <f t="shared" ca="1" si="4"/>
        <v>0.17</v>
      </c>
      <c r="I106">
        <f ca="1">Orders[[#This Row],[Quantity]]*Orders[[#This Row],[Unit Price]]*(1-Orders[[#This Row],[Discount%]])</f>
        <v>1452.5</v>
      </c>
      <c r="J106" t="str" cm="1">
        <f t="array" aca="1" ref="J106" ca="1">INDEX(PaymentMethods[Payment Method],RANDBETWEEN(1,5))</f>
        <v>Credit Card</v>
      </c>
    </row>
    <row r="107" spans="1:10" x14ac:dyDescent="0.3">
      <c r="A107" t="str">
        <f t="shared" si="5"/>
        <v>O0106</v>
      </c>
      <c r="B107" s="6">
        <f ca="1">Orders[[#This Row],[Discount%]]</f>
        <v>0.11</v>
      </c>
      <c r="C107" t="str" cm="1">
        <f t="array" aca="1" ref="C107" ca="1">INDEX(Customers[Customer ID],RANDBETWEEN(1,200))</f>
        <v>C172</v>
      </c>
      <c r="D107" t="str" cm="1">
        <f t="array" aca="1" ref="D107" ca="1">INDEX(Products[Product ID],RANDBETWEEN(1,50))</f>
        <v>P008</v>
      </c>
      <c r="E107" t="str" cm="1">
        <f t="array" aca="1" ref="E107" ca="1">INDEX(Warehouses[Warehouse ID],RANDBETWEEN(1,8))</f>
        <v>W003</v>
      </c>
      <c r="F107">
        <f t="shared" ca="1" si="3"/>
        <v>1</v>
      </c>
      <c r="G107">
        <f ca="1">_xlfn.XLOOKUP(Orders[[#This Row],[Product ID]],Products[Product ID],Products[Selling Price])</f>
        <v>4200</v>
      </c>
      <c r="H107" s="6">
        <f t="shared" ca="1" si="4"/>
        <v>0.11</v>
      </c>
      <c r="I107">
        <f ca="1">Orders[[#This Row],[Quantity]]*Orders[[#This Row],[Unit Price]]*(1-Orders[[#This Row],[Discount%]])</f>
        <v>3738</v>
      </c>
      <c r="J107" t="str" cm="1">
        <f t="array" aca="1" ref="J107" ca="1">INDEX(PaymentMethods[Payment Method],RANDBETWEEN(1,5))</f>
        <v>Net Banking</v>
      </c>
    </row>
    <row r="108" spans="1:10" x14ac:dyDescent="0.3">
      <c r="A108" t="str">
        <f t="shared" si="5"/>
        <v>O0107</v>
      </c>
      <c r="B108" s="6">
        <f ca="1">Orders[[#This Row],[Discount%]]</f>
        <v>0.16</v>
      </c>
      <c r="C108" t="str" cm="1">
        <f t="array" aca="1" ref="C108" ca="1">INDEX(Customers[Customer ID],RANDBETWEEN(1,200))</f>
        <v>C027</v>
      </c>
      <c r="D108" t="str" cm="1">
        <f t="array" aca="1" ref="D108" ca="1">INDEX(Products[Product ID],RANDBETWEEN(1,50))</f>
        <v>P006</v>
      </c>
      <c r="E108" t="str" cm="1">
        <f t="array" aca="1" ref="E108" ca="1">INDEX(Warehouses[Warehouse ID],RANDBETWEEN(1,8))</f>
        <v>W001</v>
      </c>
      <c r="F108">
        <f t="shared" ca="1" si="3"/>
        <v>10</v>
      </c>
      <c r="G108">
        <f ca="1">_xlfn.XLOOKUP(Orders[[#This Row],[Product ID]],Products[Product ID],Products[Selling Price])</f>
        <v>3500</v>
      </c>
      <c r="H108" s="6">
        <f t="shared" ca="1" si="4"/>
        <v>0.16</v>
      </c>
      <c r="I108">
        <f ca="1">Orders[[#This Row],[Quantity]]*Orders[[#This Row],[Unit Price]]*(1-Orders[[#This Row],[Discount%]])</f>
        <v>29400</v>
      </c>
      <c r="J108" t="str" cm="1">
        <f t="array" aca="1" ref="J108" ca="1">INDEX(PaymentMethods[Payment Method],RANDBETWEEN(1,5))</f>
        <v>Credit Card</v>
      </c>
    </row>
    <row r="109" spans="1:10" x14ac:dyDescent="0.3">
      <c r="A109" t="str">
        <f t="shared" si="5"/>
        <v>O0108</v>
      </c>
      <c r="B109" s="6">
        <f ca="1">Orders[[#This Row],[Discount%]]</f>
        <v>0.15</v>
      </c>
      <c r="C109" t="str" cm="1">
        <f t="array" aca="1" ref="C109" ca="1">INDEX(Customers[Customer ID],RANDBETWEEN(1,200))</f>
        <v>C117</v>
      </c>
      <c r="D109" t="str" cm="1">
        <f t="array" aca="1" ref="D109" ca="1">INDEX(Products[Product ID],RANDBETWEEN(1,50))</f>
        <v>P035</v>
      </c>
      <c r="E109" t="str" cm="1">
        <f t="array" aca="1" ref="E109" ca="1">INDEX(Warehouses[Warehouse ID],RANDBETWEEN(1,8))</f>
        <v>W008</v>
      </c>
      <c r="F109">
        <f t="shared" ca="1" si="3"/>
        <v>9</v>
      </c>
      <c r="G109">
        <f ca="1">_xlfn.XLOOKUP(Orders[[#This Row],[Product ID]],Products[Product ID],Products[Selling Price])</f>
        <v>300</v>
      </c>
      <c r="H109" s="6">
        <f t="shared" ca="1" si="4"/>
        <v>0.15</v>
      </c>
      <c r="I109">
        <f ca="1">Orders[[#This Row],[Quantity]]*Orders[[#This Row],[Unit Price]]*(1-Orders[[#This Row],[Discount%]])</f>
        <v>2295</v>
      </c>
      <c r="J109" t="str" cm="1">
        <f t="array" aca="1" ref="J109" ca="1">INDEX(PaymentMethods[Payment Method],RANDBETWEEN(1,5))</f>
        <v>Credit Card</v>
      </c>
    </row>
    <row r="110" spans="1:10" x14ac:dyDescent="0.3">
      <c r="A110" t="str">
        <f t="shared" si="5"/>
        <v>O0109</v>
      </c>
      <c r="B110" s="6">
        <f ca="1">Orders[[#This Row],[Discount%]]</f>
        <v>0.18</v>
      </c>
      <c r="C110" t="str" cm="1">
        <f t="array" aca="1" ref="C110" ca="1">INDEX(Customers[Customer ID],RANDBETWEEN(1,200))</f>
        <v>C109</v>
      </c>
      <c r="D110" t="str" cm="1">
        <f t="array" aca="1" ref="D110" ca="1">INDEX(Products[Product ID],RANDBETWEEN(1,50))</f>
        <v>P010</v>
      </c>
      <c r="E110" t="str" cm="1">
        <f t="array" aca="1" ref="E110" ca="1">INDEX(Warehouses[Warehouse ID],RANDBETWEEN(1,8))</f>
        <v>W001</v>
      </c>
      <c r="F110">
        <f t="shared" ca="1" si="3"/>
        <v>7</v>
      </c>
      <c r="G110">
        <f ca="1">_xlfn.XLOOKUP(Orders[[#This Row],[Product ID]],Products[Product ID],Products[Selling Price])</f>
        <v>250</v>
      </c>
      <c r="H110" s="6">
        <f t="shared" ca="1" si="4"/>
        <v>0.18</v>
      </c>
      <c r="I110">
        <f ca="1">Orders[[#This Row],[Quantity]]*Orders[[#This Row],[Unit Price]]*(1-Orders[[#This Row],[Discount%]])</f>
        <v>1435</v>
      </c>
      <c r="J110" t="str" cm="1">
        <f t="array" aca="1" ref="J110" ca="1">INDEX(PaymentMethods[Payment Method],RANDBETWEEN(1,5))</f>
        <v>UPI</v>
      </c>
    </row>
    <row r="111" spans="1:10" x14ac:dyDescent="0.3">
      <c r="A111" t="str">
        <f t="shared" si="5"/>
        <v>O0110</v>
      </c>
      <c r="B111" s="6">
        <f ca="1">Orders[[#This Row],[Discount%]]</f>
        <v>0.08</v>
      </c>
      <c r="C111" t="str" cm="1">
        <f t="array" aca="1" ref="C111" ca="1">INDEX(Customers[Customer ID],RANDBETWEEN(1,200))</f>
        <v>C100</v>
      </c>
      <c r="D111" t="str" cm="1">
        <f t="array" aca="1" ref="D111" ca="1">INDEX(Products[Product ID],RANDBETWEEN(1,50))</f>
        <v>P047</v>
      </c>
      <c r="E111" t="str" cm="1">
        <f t="array" aca="1" ref="E111" ca="1">INDEX(Warehouses[Warehouse ID],RANDBETWEEN(1,8))</f>
        <v>W005</v>
      </c>
      <c r="F111">
        <f t="shared" ca="1" si="3"/>
        <v>2</v>
      </c>
      <c r="G111">
        <f ca="1">_xlfn.XLOOKUP(Orders[[#This Row],[Product ID]],Products[Product ID],Products[Selling Price])</f>
        <v>6200</v>
      </c>
      <c r="H111" s="6">
        <f t="shared" ca="1" si="4"/>
        <v>0.08</v>
      </c>
      <c r="I111">
        <f ca="1">Orders[[#This Row],[Quantity]]*Orders[[#This Row],[Unit Price]]*(1-Orders[[#This Row],[Discount%]])</f>
        <v>11408</v>
      </c>
      <c r="J111" t="str" cm="1">
        <f t="array" aca="1" ref="J111" ca="1">INDEX(PaymentMethods[Payment Method],RANDBETWEEN(1,5))</f>
        <v>UPI</v>
      </c>
    </row>
    <row r="112" spans="1:10" x14ac:dyDescent="0.3">
      <c r="A112" t="str">
        <f t="shared" si="5"/>
        <v>O0111</v>
      </c>
      <c r="B112" s="6">
        <f ca="1">Orders[[#This Row],[Discount%]]</f>
        <v>0.12</v>
      </c>
      <c r="C112" t="str" cm="1">
        <f t="array" aca="1" ref="C112" ca="1">INDEX(Customers[Customer ID],RANDBETWEEN(1,200))</f>
        <v>C172</v>
      </c>
      <c r="D112" t="str" cm="1">
        <f t="array" aca="1" ref="D112" ca="1">INDEX(Products[Product ID],RANDBETWEEN(1,50))</f>
        <v>P038</v>
      </c>
      <c r="E112" t="str" cm="1">
        <f t="array" aca="1" ref="E112" ca="1">INDEX(Warehouses[Warehouse ID],RANDBETWEEN(1,8))</f>
        <v>W001</v>
      </c>
      <c r="F112">
        <f t="shared" ca="1" si="3"/>
        <v>8</v>
      </c>
      <c r="G112">
        <f ca="1">_xlfn.XLOOKUP(Orders[[#This Row],[Product ID]],Products[Product ID],Products[Selling Price])</f>
        <v>1500</v>
      </c>
      <c r="H112" s="6">
        <f t="shared" ca="1" si="4"/>
        <v>0.12</v>
      </c>
      <c r="I112">
        <f ca="1">Orders[[#This Row],[Quantity]]*Orders[[#This Row],[Unit Price]]*(1-Orders[[#This Row],[Discount%]])</f>
        <v>10560</v>
      </c>
      <c r="J112" t="str" cm="1">
        <f t="array" aca="1" ref="J112" ca="1">INDEX(PaymentMethods[Payment Method],RANDBETWEEN(1,5))</f>
        <v>UPI</v>
      </c>
    </row>
    <row r="113" spans="1:10" x14ac:dyDescent="0.3">
      <c r="A113" t="str">
        <f t="shared" si="5"/>
        <v>O0112</v>
      </c>
      <c r="B113" s="6">
        <f ca="1">Orders[[#This Row],[Discount%]]</f>
        <v>0.19</v>
      </c>
      <c r="C113" t="str" cm="1">
        <f t="array" aca="1" ref="C113" ca="1">INDEX(Customers[Customer ID],RANDBETWEEN(1,200))</f>
        <v>C173</v>
      </c>
      <c r="D113" t="str" cm="1">
        <f t="array" aca="1" ref="D113" ca="1">INDEX(Products[Product ID],RANDBETWEEN(1,50))</f>
        <v>P031</v>
      </c>
      <c r="E113" t="str" cm="1">
        <f t="array" aca="1" ref="E113" ca="1">INDEX(Warehouses[Warehouse ID],RANDBETWEEN(1,8))</f>
        <v>W004</v>
      </c>
      <c r="F113">
        <f t="shared" ca="1" si="3"/>
        <v>9</v>
      </c>
      <c r="G113">
        <f ca="1">_xlfn.XLOOKUP(Orders[[#This Row],[Product ID]],Products[Product ID],Products[Selling Price])</f>
        <v>90</v>
      </c>
      <c r="H113" s="6">
        <f t="shared" ca="1" si="4"/>
        <v>0.19</v>
      </c>
      <c r="I113">
        <f ca="1">Orders[[#This Row],[Quantity]]*Orders[[#This Row],[Unit Price]]*(1-Orders[[#This Row],[Discount%]])</f>
        <v>656.1</v>
      </c>
      <c r="J113" t="str" cm="1">
        <f t="array" aca="1" ref="J113" ca="1">INDEX(PaymentMethods[Payment Method],RANDBETWEEN(1,5))</f>
        <v>UPI</v>
      </c>
    </row>
    <row r="114" spans="1:10" x14ac:dyDescent="0.3">
      <c r="A114" t="str">
        <f t="shared" si="5"/>
        <v>O0113</v>
      </c>
      <c r="B114" s="6">
        <f ca="1">Orders[[#This Row],[Discount%]]</f>
        <v>0.18</v>
      </c>
      <c r="C114" t="str" cm="1">
        <f t="array" aca="1" ref="C114" ca="1">INDEX(Customers[Customer ID],RANDBETWEEN(1,200))</f>
        <v>C069</v>
      </c>
      <c r="D114" t="str" cm="1">
        <f t="array" aca="1" ref="D114" ca="1">INDEX(Products[Product ID],RANDBETWEEN(1,50))</f>
        <v>P038</v>
      </c>
      <c r="E114" t="str" cm="1">
        <f t="array" aca="1" ref="E114" ca="1">INDEX(Warehouses[Warehouse ID],RANDBETWEEN(1,8))</f>
        <v>W006</v>
      </c>
      <c r="F114">
        <f t="shared" ca="1" si="3"/>
        <v>8</v>
      </c>
      <c r="G114">
        <f ca="1">_xlfn.XLOOKUP(Orders[[#This Row],[Product ID]],Products[Product ID],Products[Selling Price])</f>
        <v>1500</v>
      </c>
      <c r="H114" s="6">
        <f t="shared" ca="1" si="4"/>
        <v>0.18</v>
      </c>
      <c r="I114">
        <f ca="1">Orders[[#This Row],[Quantity]]*Orders[[#This Row],[Unit Price]]*(1-Orders[[#This Row],[Discount%]])</f>
        <v>9840</v>
      </c>
      <c r="J114" t="str" cm="1">
        <f t="array" aca="1" ref="J114" ca="1">INDEX(PaymentMethods[Payment Method],RANDBETWEEN(1,5))</f>
        <v>UPI</v>
      </c>
    </row>
    <row r="115" spans="1:10" x14ac:dyDescent="0.3">
      <c r="A115" t="str">
        <f t="shared" si="5"/>
        <v>O0114</v>
      </c>
      <c r="B115" s="6">
        <f ca="1">Orders[[#This Row],[Discount%]]</f>
        <v>0.02</v>
      </c>
      <c r="C115" t="str" cm="1">
        <f t="array" aca="1" ref="C115" ca="1">INDEX(Customers[Customer ID],RANDBETWEEN(1,200))</f>
        <v>C072</v>
      </c>
      <c r="D115" t="str" cm="1">
        <f t="array" aca="1" ref="D115" ca="1">INDEX(Products[Product ID],RANDBETWEEN(1,50))</f>
        <v>P016</v>
      </c>
      <c r="E115" t="str" cm="1">
        <f t="array" aca="1" ref="E115" ca="1">INDEX(Warehouses[Warehouse ID],RANDBETWEEN(1,8))</f>
        <v>W004</v>
      </c>
      <c r="F115">
        <f t="shared" ca="1" si="3"/>
        <v>1</v>
      </c>
      <c r="G115">
        <f ca="1">_xlfn.XLOOKUP(Orders[[#This Row],[Product ID]],Products[Product ID],Products[Selling Price])</f>
        <v>2500</v>
      </c>
      <c r="H115" s="6">
        <f t="shared" ca="1" si="4"/>
        <v>0.02</v>
      </c>
      <c r="I115">
        <f ca="1">Orders[[#This Row],[Quantity]]*Orders[[#This Row],[Unit Price]]*(1-Orders[[#This Row],[Discount%]])</f>
        <v>2450</v>
      </c>
      <c r="J115" t="str" cm="1">
        <f t="array" aca="1" ref="J115" ca="1">INDEX(PaymentMethods[Payment Method],RANDBETWEEN(1,5))</f>
        <v>Net Banking</v>
      </c>
    </row>
    <row r="116" spans="1:10" x14ac:dyDescent="0.3">
      <c r="A116" t="str">
        <f t="shared" si="5"/>
        <v>O0115</v>
      </c>
      <c r="B116" s="6">
        <f ca="1">Orders[[#This Row],[Discount%]]</f>
        <v>0.17</v>
      </c>
      <c r="C116" t="str" cm="1">
        <f t="array" aca="1" ref="C116" ca="1">INDEX(Customers[Customer ID],RANDBETWEEN(1,200))</f>
        <v>C190</v>
      </c>
      <c r="D116" t="str" cm="1">
        <f t="array" aca="1" ref="D116" ca="1">INDEX(Products[Product ID],RANDBETWEEN(1,50))</f>
        <v>P031</v>
      </c>
      <c r="E116" t="str" cm="1">
        <f t="array" aca="1" ref="E116" ca="1">INDEX(Warehouses[Warehouse ID],RANDBETWEEN(1,8))</f>
        <v>W003</v>
      </c>
      <c r="F116">
        <f t="shared" ca="1" si="3"/>
        <v>7</v>
      </c>
      <c r="G116">
        <f ca="1">_xlfn.XLOOKUP(Orders[[#This Row],[Product ID]],Products[Product ID],Products[Selling Price])</f>
        <v>90</v>
      </c>
      <c r="H116" s="6">
        <f t="shared" ca="1" si="4"/>
        <v>0.17</v>
      </c>
      <c r="I116">
        <f ca="1">Orders[[#This Row],[Quantity]]*Orders[[#This Row],[Unit Price]]*(1-Orders[[#This Row],[Discount%]])</f>
        <v>522.9</v>
      </c>
      <c r="J116" t="str" cm="1">
        <f t="array" aca="1" ref="J116" ca="1">INDEX(PaymentMethods[Payment Method],RANDBETWEEN(1,5))</f>
        <v>Debit Card</v>
      </c>
    </row>
    <row r="117" spans="1:10" x14ac:dyDescent="0.3">
      <c r="A117" t="str">
        <f t="shared" si="5"/>
        <v>O0116</v>
      </c>
      <c r="B117" s="6">
        <f ca="1">Orders[[#This Row],[Discount%]]</f>
        <v>0.11</v>
      </c>
      <c r="C117" t="str" cm="1">
        <f t="array" aca="1" ref="C117" ca="1">INDEX(Customers[Customer ID],RANDBETWEEN(1,200))</f>
        <v>C131</v>
      </c>
      <c r="D117" t="str" cm="1">
        <f t="array" aca="1" ref="D117" ca="1">INDEX(Products[Product ID],RANDBETWEEN(1,50))</f>
        <v>P030</v>
      </c>
      <c r="E117" t="str" cm="1">
        <f t="array" aca="1" ref="E117" ca="1">INDEX(Warehouses[Warehouse ID],RANDBETWEEN(1,8))</f>
        <v>W006</v>
      </c>
      <c r="F117">
        <f t="shared" ca="1" si="3"/>
        <v>1</v>
      </c>
      <c r="G117">
        <f ca="1">_xlfn.XLOOKUP(Orders[[#This Row],[Product ID]],Products[Product ID],Products[Selling Price])</f>
        <v>4800</v>
      </c>
      <c r="H117" s="6">
        <f t="shared" ca="1" si="4"/>
        <v>0.11</v>
      </c>
      <c r="I117">
        <f ca="1">Orders[[#This Row],[Quantity]]*Orders[[#This Row],[Unit Price]]*(1-Orders[[#This Row],[Discount%]])</f>
        <v>4272</v>
      </c>
      <c r="J117" t="str" cm="1">
        <f t="array" aca="1" ref="J117" ca="1">INDEX(PaymentMethods[Payment Method],RANDBETWEEN(1,5))</f>
        <v>Net Banking</v>
      </c>
    </row>
    <row r="118" spans="1:10" x14ac:dyDescent="0.3">
      <c r="A118" t="str">
        <f t="shared" si="5"/>
        <v>O0117</v>
      </c>
      <c r="B118" s="6">
        <f ca="1">Orders[[#This Row],[Discount%]]</f>
        <v>7.0000000000000007E-2</v>
      </c>
      <c r="C118" t="str" cm="1">
        <f t="array" aca="1" ref="C118" ca="1">INDEX(Customers[Customer ID],RANDBETWEEN(1,200))</f>
        <v>C058</v>
      </c>
      <c r="D118" t="str" cm="1">
        <f t="array" aca="1" ref="D118" ca="1">INDEX(Products[Product ID],RANDBETWEEN(1,50))</f>
        <v>P010</v>
      </c>
      <c r="E118" t="str" cm="1">
        <f t="array" aca="1" ref="E118" ca="1">INDEX(Warehouses[Warehouse ID],RANDBETWEEN(1,8))</f>
        <v>W008</v>
      </c>
      <c r="F118">
        <f t="shared" ca="1" si="3"/>
        <v>1</v>
      </c>
      <c r="G118">
        <f ca="1">_xlfn.XLOOKUP(Orders[[#This Row],[Product ID]],Products[Product ID],Products[Selling Price])</f>
        <v>250</v>
      </c>
      <c r="H118" s="6">
        <f t="shared" ca="1" si="4"/>
        <v>7.0000000000000007E-2</v>
      </c>
      <c r="I118">
        <f ca="1">Orders[[#This Row],[Quantity]]*Orders[[#This Row],[Unit Price]]*(1-Orders[[#This Row],[Discount%]])</f>
        <v>232.49999999999997</v>
      </c>
      <c r="J118" t="str" cm="1">
        <f t="array" aca="1" ref="J118" ca="1">INDEX(PaymentMethods[Payment Method],RANDBETWEEN(1,5))</f>
        <v>Credit Card</v>
      </c>
    </row>
    <row r="119" spans="1:10" x14ac:dyDescent="0.3">
      <c r="A119" t="str">
        <f t="shared" si="5"/>
        <v>O0118</v>
      </c>
      <c r="B119" s="6">
        <f ca="1">Orders[[#This Row],[Discount%]]</f>
        <v>0.13</v>
      </c>
      <c r="C119" t="str" cm="1">
        <f t="array" aca="1" ref="C119" ca="1">INDEX(Customers[Customer ID],RANDBETWEEN(1,200))</f>
        <v>C168</v>
      </c>
      <c r="D119" t="str" cm="1">
        <f t="array" aca="1" ref="D119" ca="1">INDEX(Products[Product ID],RANDBETWEEN(1,50))</f>
        <v>P012</v>
      </c>
      <c r="E119" t="str" cm="1">
        <f t="array" aca="1" ref="E119" ca="1">INDEX(Warehouses[Warehouse ID],RANDBETWEEN(1,8))</f>
        <v>W006</v>
      </c>
      <c r="F119">
        <f t="shared" ca="1" si="3"/>
        <v>8</v>
      </c>
      <c r="G119">
        <f ca="1">_xlfn.XLOOKUP(Orders[[#This Row],[Product ID]],Products[Product ID],Products[Selling Price])</f>
        <v>80</v>
      </c>
      <c r="H119" s="6">
        <f t="shared" ca="1" si="4"/>
        <v>0.13</v>
      </c>
      <c r="I119">
        <f ca="1">Orders[[#This Row],[Quantity]]*Orders[[#This Row],[Unit Price]]*(1-Orders[[#This Row],[Discount%]])</f>
        <v>556.79999999999995</v>
      </c>
      <c r="J119" t="str" cm="1">
        <f t="array" aca="1" ref="J119" ca="1">INDEX(PaymentMethods[Payment Method],RANDBETWEEN(1,5))</f>
        <v>UPI</v>
      </c>
    </row>
    <row r="120" spans="1:10" x14ac:dyDescent="0.3">
      <c r="A120" t="str">
        <f t="shared" si="5"/>
        <v>O0119</v>
      </c>
      <c r="B120" s="6">
        <f ca="1">Orders[[#This Row],[Discount%]]</f>
        <v>0.11</v>
      </c>
      <c r="C120" t="str" cm="1">
        <f t="array" aca="1" ref="C120" ca="1">INDEX(Customers[Customer ID],RANDBETWEEN(1,200))</f>
        <v>C149</v>
      </c>
      <c r="D120" t="str" cm="1">
        <f t="array" aca="1" ref="D120" ca="1">INDEX(Products[Product ID],RANDBETWEEN(1,50))</f>
        <v>P008</v>
      </c>
      <c r="E120" t="str" cm="1">
        <f t="array" aca="1" ref="E120" ca="1">INDEX(Warehouses[Warehouse ID],RANDBETWEEN(1,8))</f>
        <v>W002</v>
      </c>
      <c r="F120">
        <f t="shared" ca="1" si="3"/>
        <v>6</v>
      </c>
      <c r="G120">
        <f ca="1">_xlfn.XLOOKUP(Orders[[#This Row],[Product ID]],Products[Product ID],Products[Selling Price])</f>
        <v>4200</v>
      </c>
      <c r="H120" s="6">
        <f t="shared" ca="1" si="4"/>
        <v>0.11</v>
      </c>
      <c r="I120">
        <f ca="1">Orders[[#This Row],[Quantity]]*Orders[[#This Row],[Unit Price]]*(1-Orders[[#This Row],[Discount%]])</f>
        <v>22428</v>
      </c>
      <c r="J120" t="str" cm="1">
        <f t="array" aca="1" ref="J120" ca="1">INDEX(PaymentMethods[Payment Method],RANDBETWEEN(1,5))</f>
        <v>UPI</v>
      </c>
    </row>
    <row r="121" spans="1:10" x14ac:dyDescent="0.3">
      <c r="A121" t="str">
        <f t="shared" si="5"/>
        <v>O0120</v>
      </c>
      <c r="B121" s="6">
        <f ca="1">Orders[[#This Row],[Discount%]]</f>
        <v>0.03</v>
      </c>
      <c r="C121" t="str" cm="1">
        <f t="array" aca="1" ref="C121" ca="1">INDEX(Customers[Customer ID],RANDBETWEEN(1,200))</f>
        <v>C182</v>
      </c>
      <c r="D121" t="str" cm="1">
        <f t="array" aca="1" ref="D121" ca="1">INDEX(Products[Product ID],RANDBETWEEN(1,50))</f>
        <v>P039</v>
      </c>
      <c r="E121" t="str" cm="1">
        <f t="array" aca="1" ref="E121" ca="1">INDEX(Warehouses[Warehouse ID],RANDBETWEEN(1,8))</f>
        <v>W007</v>
      </c>
      <c r="F121">
        <f t="shared" ca="1" si="3"/>
        <v>6</v>
      </c>
      <c r="G121">
        <f ca="1">_xlfn.XLOOKUP(Orders[[#This Row],[Product ID]],Products[Product ID],Products[Selling Price])</f>
        <v>250</v>
      </c>
      <c r="H121" s="6">
        <f t="shared" ca="1" si="4"/>
        <v>0.03</v>
      </c>
      <c r="I121">
        <f ca="1">Orders[[#This Row],[Quantity]]*Orders[[#This Row],[Unit Price]]*(1-Orders[[#This Row],[Discount%]])</f>
        <v>1455</v>
      </c>
      <c r="J121" t="str" cm="1">
        <f t="array" aca="1" ref="J121" ca="1">INDEX(PaymentMethods[Payment Method],RANDBETWEEN(1,5))</f>
        <v>Cash</v>
      </c>
    </row>
    <row r="122" spans="1:10" x14ac:dyDescent="0.3">
      <c r="A122" t="str">
        <f t="shared" si="5"/>
        <v>O0121</v>
      </c>
      <c r="B122" s="6">
        <f ca="1">Orders[[#This Row],[Discount%]]</f>
        <v>0.15</v>
      </c>
      <c r="C122" t="str" cm="1">
        <f t="array" aca="1" ref="C122" ca="1">INDEX(Customers[Customer ID],RANDBETWEEN(1,200))</f>
        <v>C176</v>
      </c>
      <c r="D122" t="str" cm="1">
        <f t="array" aca="1" ref="D122" ca="1">INDEX(Products[Product ID],RANDBETWEEN(1,50))</f>
        <v>P042</v>
      </c>
      <c r="E122" t="str" cm="1">
        <f t="array" aca="1" ref="E122" ca="1">INDEX(Warehouses[Warehouse ID],RANDBETWEEN(1,8))</f>
        <v>W004</v>
      </c>
      <c r="F122">
        <f t="shared" ca="1" si="3"/>
        <v>7</v>
      </c>
      <c r="G122">
        <f ca="1">_xlfn.XLOOKUP(Orders[[#This Row],[Product ID]],Products[Product ID],Products[Selling Price])</f>
        <v>29000</v>
      </c>
      <c r="H122" s="6">
        <f t="shared" ca="1" si="4"/>
        <v>0.15</v>
      </c>
      <c r="I122">
        <f ca="1">Orders[[#This Row],[Quantity]]*Orders[[#This Row],[Unit Price]]*(1-Orders[[#This Row],[Discount%]])</f>
        <v>172550</v>
      </c>
      <c r="J122" t="str" cm="1">
        <f t="array" aca="1" ref="J122" ca="1">INDEX(PaymentMethods[Payment Method],RANDBETWEEN(1,5))</f>
        <v>Credit Card</v>
      </c>
    </row>
    <row r="123" spans="1:10" x14ac:dyDescent="0.3">
      <c r="A123" t="str">
        <f t="shared" si="5"/>
        <v>O0122</v>
      </c>
      <c r="B123" s="6">
        <f ca="1">Orders[[#This Row],[Discount%]]</f>
        <v>0.18</v>
      </c>
      <c r="C123" t="str" cm="1">
        <f t="array" aca="1" ref="C123" ca="1">INDEX(Customers[Customer ID],RANDBETWEEN(1,200))</f>
        <v>C039</v>
      </c>
      <c r="D123" t="str" cm="1">
        <f t="array" aca="1" ref="D123" ca="1">INDEX(Products[Product ID],RANDBETWEEN(1,50))</f>
        <v>P027</v>
      </c>
      <c r="E123" t="str" cm="1">
        <f t="array" aca="1" ref="E123" ca="1">INDEX(Warehouses[Warehouse ID],RANDBETWEEN(1,8))</f>
        <v>W007</v>
      </c>
      <c r="F123">
        <f t="shared" ca="1" si="3"/>
        <v>1</v>
      </c>
      <c r="G123">
        <f ca="1">_xlfn.XLOOKUP(Orders[[#This Row],[Product ID]],Products[Product ID],Products[Selling Price])</f>
        <v>4000</v>
      </c>
      <c r="H123" s="6">
        <f t="shared" ca="1" si="4"/>
        <v>0.18</v>
      </c>
      <c r="I123">
        <f ca="1">Orders[[#This Row],[Quantity]]*Orders[[#This Row],[Unit Price]]*(1-Orders[[#This Row],[Discount%]])</f>
        <v>3280.0000000000005</v>
      </c>
      <c r="J123" t="str" cm="1">
        <f t="array" aca="1" ref="J123" ca="1">INDEX(PaymentMethods[Payment Method],RANDBETWEEN(1,5))</f>
        <v>Cash</v>
      </c>
    </row>
    <row r="124" spans="1:10" x14ac:dyDescent="0.3">
      <c r="A124" t="str">
        <f t="shared" si="5"/>
        <v>O0123</v>
      </c>
      <c r="B124" s="6">
        <f ca="1">Orders[[#This Row],[Discount%]]</f>
        <v>0.17</v>
      </c>
      <c r="C124" t="str" cm="1">
        <f t="array" aca="1" ref="C124" ca="1">INDEX(Customers[Customer ID],RANDBETWEEN(1,200))</f>
        <v>C084</v>
      </c>
      <c r="D124" t="str" cm="1">
        <f t="array" aca="1" ref="D124" ca="1">INDEX(Products[Product ID],RANDBETWEEN(1,50))</f>
        <v>P050</v>
      </c>
      <c r="E124" t="str" cm="1">
        <f t="array" aca="1" ref="E124" ca="1">INDEX(Warehouses[Warehouse ID],RANDBETWEEN(1,8))</f>
        <v>W002</v>
      </c>
      <c r="F124">
        <f t="shared" ca="1" si="3"/>
        <v>8</v>
      </c>
      <c r="G124">
        <f ca="1">_xlfn.XLOOKUP(Orders[[#This Row],[Product ID]],Products[Product ID],Products[Selling Price])</f>
        <v>12000</v>
      </c>
      <c r="H124" s="6">
        <f t="shared" ca="1" si="4"/>
        <v>0.17</v>
      </c>
      <c r="I124">
        <f ca="1">Orders[[#This Row],[Quantity]]*Orders[[#This Row],[Unit Price]]*(1-Orders[[#This Row],[Discount%]])</f>
        <v>79680</v>
      </c>
      <c r="J124" t="str" cm="1">
        <f t="array" aca="1" ref="J124" ca="1">INDEX(PaymentMethods[Payment Method],RANDBETWEEN(1,5))</f>
        <v>Debit Card</v>
      </c>
    </row>
    <row r="125" spans="1:10" x14ac:dyDescent="0.3">
      <c r="A125" t="str">
        <f t="shared" si="5"/>
        <v>O0124</v>
      </c>
      <c r="B125" s="6">
        <f ca="1">Orders[[#This Row],[Discount%]]</f>
        <v>0.08</v>
      </c>
      <c r="C125" t="str" cm="1">
        <f t="array" aca="1" ref="C125" ca="1">INDEX(Customers[Customer ID],RANDBETWEEN(1,200))</f>
        <v>C065</v>
      </c>
      <c r="D125" t="str" cm="1">
        <f t="array" aca="1" ref="D125" ca="1">INDEX(Products[Product ID],RANDBETWEEN(1,50))</f>
        <v>P017</v>
      </c>
      <c r="E125" t="str" cm="1">
        <f t="array" aca="1" ref="E125" ca="1">INDEX(Warehouses[Warehouse ID],RANDBETWEEN(1,8))</f>
        <v>W005</v>
      </c>
      <c r="F125">
        <f t="shared" ca="1" si="3"/>
        <v>4</v>
      </c>
      <c r="G125">
        <f ca="1">_xlfn.XLOOKUP(Orders[[#This Row],[Product ID]],Products[Product ID],Products[Selling Price])</f>
        <v>650</v>
      </c>
      <c r="H125" s="6">
        <f t="shared" ca="1" si="4"/>
        <v>0.08</v>
      </c>
      <c r="I125">
        <f ca="1">Orders[[#This Row],[Quantity]]*Orders[[#This Row],[Unit Price]]*(1-Orders[[#This Row],[Discount%]])</f>
        <v>2392</v>
      </c>
      <c r="J125" t="str" cm="1">
        <f t="array" aca="1" ref="J125" ca="1">INDEX(PaymentMethods[Payment Method],RANDBETWEEN(1,5))</f>
        <v>Credit Card</v>
      </c>
    </row>
    <row r="126" spans="1:10" x14ac:dyDescent="0.3">
      <c r="A126" t="str">
        <f t="shared" si="5"/>
        <v>O0125</v>
      </c>
      <c r="B126" s="6">
        <f ca="1">Orders[[#This Row],[Discount%]]</f>
        <v>7.0000000000000007E-2</v>
      </c>
      <c r="C126" t="str" cm="1">
        <f t="array" aca="1" ref="C126" ca="1">INDEX(Customers[Customer ID],RANDBETWEEN(1,200))</f>
        <v>C086</v>
      </c>
      <c r="D126" t="str" cm="1">
        <f t="array" aca="1" ref="D126" ca="1">INDEX(Products[Product ID],RANDBETWEEN(1,50))</f>
        <v>P033</v>
      </c>
      <c r="E126" t="str" cm="1">
        <f t="array" aca="1" ref="E126" ca="1">INDEX(Warehouses[Warehouse ID],RANDBETWEEN(1,8))</f>
        <v>W005</v>
      </c>
      <c r="F126">
        <f t="shared" ca="1" si="3"/>
        <v>2</v>
      </c>
      <c r="G126">
        <f ca="1">_xlfn.XLOOKUP(Orders[[#This Row],[Product ID]],Products[Product ID],Products[Selling Price])</f>
        <v>180</v>
      </c>
      <c r="H126" s="6">
        <f t="shared" ca="1" si="4"/>
        <v>7.0000000000000007E-2</v>
      </c>
      <c r="I126">
        <f ca="1">Orders[[#This Row],[Quantity]]*Orders[[#This Row],[Unit Price]]*(1-Orders[[#This Row],[Discount%]])</f>
        <v>334.79999999999995</v>
      </c>
      <c r="J126" t="str" cm="1">
        <f t="array" aca="1" ref="J126" ca="1">INDEX(PaymentMethods[Payment Method],RANDBETWEEN(1,5))</f>
        <v>UPI</v>
      </c>
    </row>
    <row r="127" spans="1:10" x14ac:dyDescent="0.3">
      <c r="A127" t="str">
        <f t="shared" si="5"/>
        <v>O0126</v>
      </c>
      <c r="B127" s="6">
        <f ca="1">Orders[[#This Row],[Discount%]]</f>
        <v>0.11</v>
      </c>
      <c r="C127" t="str" cm="1">
        <f t="array" aca="1" ref="C127" ca="1">INDEX(Customers[Customer ID],RANDBETWEEN(1,200))</f>
        <v>C071</v>
      </c>
      <c r="D127" t="str" cm="1">
        <f t="array" aca="1" ref="D127" ca="1">INDEX(Products[Product ID],RANDBETWEEN(1,50))</f>
        <v>P044</v>
      </c>
      <c r="E127" t="str" cm="1">
        <f t="array" aca="1" ref="E127" ca="1">INDEX(Warehouses[Warehouse ID],RANDBETWEEN(1,8))</f>
        <v>W002</v>
      </c>
      <c r="F127">
        <f t="shared" ca="1" si="3"/>
        <v>6</v>
      </c>
      <c r="G127">
        <f ca="1">_xlfn.XLOOKUP(Orders[[#This Row],[Product ID]],Products[Product ID],Products[Selling Price])</f>
        <v>8500</v>
      </c>
      <c r="H127" s="6">
        <f t="shared" ca="1" si="4"/>
        <v>0.11</v>
      </c>
      <c r="I127">
        <f ca="1">Orders[[#This Row],[Quantity]]*Orders[[#This Row],[Unit Price]]*(1-Orders[[#This Row],[Discount%]])</f>
        <v>45390</v>
      </c>
      <c r="J127" t="str" cm="1">
        <f t="array" aca="1" ref="J127" ca="1">INDEX(PaymentMethods[Payment Method],RANDBETWEEN(1,5))</f>
        <v>Net Banking</v>
      </c>
    </row>
    <row r="128" spans="1:10" x14ac:dyDescent="0.3">
      <c r="A128" t="str">
        <f t="shared" si="5"/>
        <v>O0127</v>
      </c>
      <c r="B128" s="6">
        <f ca="1">Orders[[#This Row],[Discount%]]</f>
        <v>0.16</v>
      </c>
      <c r="C128" t="str" cm="1">
        <f t="array" aca="1" ref="C128" ca="1">INDEX(Customers[Customer ID],RANDBETWEEN(1,200))</f>
        <v>C027</v>
      </c>
      <c r="D128" t="str" cm="1">
        <f t="array" aca="1" ref="D128" ca="1">INDEX(Products[Product ID],RANDBETWEEN(1,50))</f>
        <v>P006</v>
      </c>
      <c r="E128" t="str" cm="1">
        <f t="array" aca="1" ref="E128" ca="1">INDEX(Warehouses[Warehouse ID],RANDBETWEEN(1,8))</f>
        <v>W001</v>
      </c>
      <c r="F128">
        <f t="shared" ca="1" si="3"/>
        <v>9</v>
      </c>
      <c r="G128">
        <f ca="1">_xlfn.XLOOKUP(Orders[[#This Row],[Product ID]],Products[Product ID],Products[Selling Price])</f>
        <v>3500</v>
      </c>
      <c r="H128" s="6">
        <f t="shared" ca="1" si="4"/>
        <v>0.16</v>
      </c>
      <c r="I128">
        <f ca="1">Orders[[#This Row],[Quantity]]*Orders[[#This Row],[Unit Price]]*(1-Orders[[#This Row],[Discount%]])</f>
        <v>26460</v>
      </c>
      <c r="J128" t="str" cm="1">
        <f t="array" aca="1" ref="J128" ca="1">INDEX(PaymentMethods[Payment Method],RANDBETWEEN(1,5))</f>
        <v>Credit Card</v>
      </c>
    </row>
    <row r="129" spans="1:10" x14ac:dyDescent="0.3">
      <c r="A129" t="str">
        <f t="shared" si="5"/>
        <v>O0128</v>
      </c>
      <c r="B129" s="6">
        <f ca="1">Orders[[#This Row],[Discount%]]</f>
        <v>0.17</v>
      </c>
      <c r="C129" t="str" cm="1">
        <f t="array" aca="1" ref="C129" ca="1">INDEX(Customers[Customer ID],RANDBETWEEN(1,200))</f>
        <v>C081</v>
      </c>
      <c r="D129" t="str" cm="1">
        <f t="array" aca="1" ref="D129" ca="1">INDEX(Products[Product ID],RANDBETWEEN(1,50))</f>
        <v>P027</v>
      </c>
      <c r="E129" t="str" cm="1">
        <f t="array" aca="1" ref="E129" ca="1">INDEX(Warehouses[Warehouse ID],RANDBETWEEN(1,8))</f>
        <v>W005</v>
      </c>
      <c r="F129">
        <f t="shared" ca="1" si="3"/>
        <v>9</v>
      </c>
      <c r="G129">
        <f ca="1">_xlfn.XLOOKUP(Orders[[#This Row],[Product ID]],Products[Product ID],Products[Selling Price])</f>
        <v>4000</v>
      </c>
      <c r="H129" s="6">
        <f t="shared" ca="1" si="4"/>
        <v>0.17</v>
      </c>
      <c r="I129">
        <f ca="1">Orders[[#This Row],[Quantity]]*Orders[[#This Row],[Unit Price]]*(1-Orders[[#This Row],[Discount%]])</f>
        <v>29880</v>
      </c>
      <c r="J129" t="str" cm="1">
        <f t="array" aca="1" ref="J129" ca="1">INDEX(PaymentMethods[Payment Method],RANDBETWEEN(1,5))</f>
        <v>Net Banking</v>
      </c>
    </row>
    <row r="130" spans="1:10" x14ac:dyDescent="0.3">
      <c r="A130" t="str">
        <f t="shared" si="5"/>
        <v>O0129</v>
      </c>
      <c r="B130" s="6">
        <f ca="1">Orders[[#This Row],[Discount%]]</f>
        <v>7.0000000000000007E-2</v>
      </c>
      <c r="C130" t="str" cm="1">
        <f t="array" aca="1" ref="C130" ca="1">INDEX(Customers[Customer ID],RANDBETWEEN(1,200))</f>
        <v>C164</v>
      </c>
      <c r="D130" t="str" cm="1">
        <f t="array" aca="1" ref="D130" ca="1">INDEX(Products[Product ID],RANDBETWEEN(1,50))</f>
        <v>P021</v>
      </c>
      <c r="E130" t="str" cm="1">
        <f t="array" aca="1" ref="E130" ca="1">INDEX(Warehouses[Warehouse ID],RANDBETWEEN(1,8))</f>
        <v>W004</v>
      </c>
      <c r="F130">
        <f t="shared" ref="F130:F193" ca="1" si="6">RANDBETWEEN(1,10)</f>
        <v>8</v>
      </c>
      <c r="G130">
        <f ca="1">_xlfn.XLOOKUP(Orders[[#This Row],[Product ID]],Products[Product ID],Products[Selling Price])</f>
        <v>22000</v>
      </c>
      <c r="H130" s="6">
        <f t="shared" ref="H130:H193" ca="1" si="7">RANDBETWEEN(0,20)/100</f>
        <v>7.0000000000000007E-2</v>
      </c>
      <c r="I130">
        <f ca="1">Orders[[#This Row],[Quantity]]*Orders[[#This Row],[Unit Price]]*(1-Orders[[#This Row],[Discount%]])</f>
        <v>163680</v>
      </c>
      <c r="J130" t="str" cm="1">
        <f t="array" aca="1" ref="J130" ca="1">INDEX(PaymentMethods[Payment Method],RANDBETWEEN(1,5))</f>
        <v>UPI</v>
      </c>
    </row>
    <row r="131" spans="1:10" x14ac:dyDescent="0.3">
      <c r="A131" t="str">
        <f t="shared" ref="A131:A194" si="8">"O"&amp;TEXT(ROW()-1,"0000")</f>
        <v>O0130</v>
      </c>
      <c r="B131" s="6">
        <f ca="1">Orders[[#This Row],[Discount%]]</f>
        <v>0.19</v>
      </c>
      <c r="C131" t="str" cm="1">
        <f t="array" aca="1" ref="C131" ca="1">INDEX(Customers[Customer ID],RANDBETWEEN(1,200))</f>
        <v>C038</v>
      </c>
      <c r="D131" t="str" cm="1">
        <f t="array" aca="1" ref="D131" ca="1">INDEX(Products[Product ID],RANDBETWEEN(1,50))</f>
        <v>P009</v>
      </c>
      <c r="E131" t="str" cm="1">
        <f t="array" aca="1" ref="E131" ca="1">INDEX(Warehouses[Warehouse ID],RANDBETWEEN(1,8))</f>
        <v>W003</v>
      </c>
      <c r="F131">
        <f t="shared" ca="1" si="6"/>
        <v>9</v>
      </c>
      <c r="G131">
        <f ca="1">_xlfn.XLOOKUP(Orders[[#This Row],[Product ID]],Products[Product ID],Products[Selling Price])</f>
        <v>20000</v>
      </c>
      <c r="H131" s="6">
        <f t="shared" ca="1" si="7"/>
        <v>0.19</v>
      </c>
      <c r="I131">
        <f ca="1">Orders[[#This Row],[Quantity]]*Orders[[#This Row],[Unit Price]]*(1-Orders[[#This Row],[Discount%]])</f>
        <v>145800</v>
      </c>
      <c r="J131" t="str" cm="1">
        <f t="array" aca="1" ref="J131" ca="1">INDEX(PaymentMethods[Payment Method],RANDBETWEEN(1,5))</f>
        <v>Cash</v>
      </c>
    </row>
    <row r="132" spans="1:10" x14ac:dyDescent="0.3">
      <c r="A132" t="str">
        <f t="shared" si="8"/>
        <v>O0131</v>
      </c>
      <c r="B132" s="6">
        <f ca="1">Orders[[#This Row],[Discount%]]</f>
        <v>0.1</v>
      </c>
      <c r="C132" t="str" cm="1">
        <f t="array" aca="1" ref="C132" ca="1">INDEX(Customers[Customer ID],RANDBETWEEN(1,200))</f>
        <v>C078</v>
      </c>
      <c r="D132" t="str" cm="1">
        <f t="array" aca="1" ref="D132" ca="1">INDEX(Products[Product ID],RANDBETWEEN(1,50))</f>
        <v>P044</v>
      </c>
      <c r="E132" t="str" cm="1">
        <f t="array" aca="1" ref="E132" ca="1">INDEX(Warehouses[Warehouse ID],RANDBETWEEN(1,8))</f>
        <v>W008</v>
      </c>
      <c r="F132">
        <f t="shared" ca="1" si="6"/>
        <v>7</v>
      </c>
      <c r="G132">
        <f ca="1">_xlfn.XLOOKUP(Orders[[#This Row],[Product ID]],Products[Product ID],Products[Selling Price])</f>
        <v>8500</v>
      </c>
      <c r="H132" s="6">
        <f t="shared" ca="1" si="7"/>
        <v>0.1</v>
      </c>
      <c r="I132">
        <f ca="1">Orders[[#This Row],[Quantity]]*Orders[[#This Row],[Unit Price]]*(1-Orders[[#This Row],[Discount%]])</f>
        <v>53550</v>
      </c>
      <c r="J132" t="str" cm="1">
        <f t="array" aca="1" ref="J132" ca="1">INDEX(PaymentMethods[Payment Method],RANDBETWEEN(1,5))</f>
        <v>UPI</v>
      </c>
    </row>
    <row r="133" spans="1:10" x14ac:dyDescent="0.3">
      <c r="A133" t="str">
        <f t="shared" si="8"/>
        <v>O0132</v>
      </c>
      <c r="B133" s="6">
        <f ca="1">Orders[[#This Row],[Discount%]]</f>
        <v>0.13</v>
      </c>
      <c r="C133" t="str" cm="1">
        <f t="array" aca="1" ref="C133" ca="1">INDEX(Customers[Customer ID],RANDBETWEEN(1,200))</f>
        <v>C006</v>
      </c>
      <c r="D133" t="str" cm="1">
        <f t="array" aca="1" ref="D133" ca="1">INDEX(Products[Product ID],RANDBETWEEN(1,50))</f>
        <v>P040</v>
      </c>
      <c r="E133" t="str" cm="1">
        <f t="array" aca="1" ref="E133" ca="1">INDEX(Warehouses[Warehouse ID],RANDBETWEEN(1,8))</f>
        <v>W003</v>
      </c>
      <c r="F133">
        <f t="shared" ca="1" si="6"/>
        <v>3</v>
      </c>
      <c r="G133">
        <f ca="1">_xlfn.XLOOKUP(Orders[[#This Row],[Product ID]],Products[Product ID],Products[Selling Price])</f>
        <v>180</v>
      </c>
      <c r="H133" s="6">
        <f t="shared" ca="1" si="7"/>
        <v>0.13</v>
      </c>
      <c r="I133">
        <f ca="1">Orders[[#This Row],[Quantity]]*Orders[[#This Row],[Unit Price]]*(1-Orders[[#This Row],[Discount%]])</f>
        <v>469.8</v>
      </c>
      <c r="J133" t="str" cm="1">
        <f t="array" aca="1" ref="J133" ca="1">INDEX(PaymentMethods[Payment Method],RANDBETWEEN(1,5))</f>
        <v>Net Banking</v>
      </c>
    </row>
    <row r="134" spans="1:10" x14ac:dyDescent="0.3">
      <c r="A134" t="str">
        <f t="shared" si="8"/>
        <v>O0133</v>
      </c>
      <c r="B134" s="6">
        <f ca="1">Orders[[#This Row],[Discount%]]</f>
        <v>0.08</v>
      </c>
      <c r="C134" t="str" cm="1">
        <f t="array" aca="1" ref="C134" ca="1">INDEX(Customers[Customer ID],RANDBETWEEN(1,200))</f>
        <v>C029</v>
      </c>
      <c r="D134" t="str" cm="1">
        <f t="array" aca="1" ref="D134" ca="1">INDEX(Products[Product ID],RANDBETWEEN(1,50))</f>
        <v>P037</v>
      </c>
      <c r="E134" t="str" cm="1">
        <f t="array" aca="1" ref="E134" ca="1">INDEX(Warehouses[Warehouse ID],RANDBETWEEN(1,8))</f>
        <v>W003</v>
      </c>
      <c r="F134">
        <f t="shared" ca="1" si="6"/>
        <v>1</v>
      </c>
      <c r="G134">
        <f ca="1">_xlfn.XLOOKUP(Orders[[#This Row],[Product ID]],Products[Product ID],Products[Selling Price])</f>
        <v>550</v>
      </c>
      <c r="H134" s="6">
        <f t="shared" ca="1" si="7"/>
        <v>0.08</v>
      </c>
      <c r="I134">
        <f ca="1">Orders[[#This Row],[Quantity]]*Orders[[#This Row],[Unit Price]]*(1-Orders[[#This Row],[Discount%]])</f>
        <v>506</v>
      </c>
      <c r="J134" t="str" cm="1">
        <f t="array" aca="1" ref="J134" ca="1">INDEX(PaymentMethods[Payment Method],RANDBETWEEN(1,5))</f>
        <v>Cash</v>
      </c>
    </row>
    <row r="135" spans="1:10" x14ac:dyDescent="0.3">
      <c r="A135" t="str">
        <f t="shared" si="8"/>
        <v>O0134</v>
      </c>
      <c r="B135" s="6">
        <f ca="1">Orders[[#This Row],[Discount%]]</f>
        <v>0.04</v>
      </c>
      <c r="C135" t="str" cm="1">
        <f t="array" aca="1" ref="C135" ca="1">INDEX(Customers[Customer ID],RANDBETWEEN(1,200))</f>
        <v>C127</v>
      </c>
      <c r="D135" t="str" cm="1">
        <f t="array" aca="1" ref="D135" ca="1">INDEX(Products[Product ID],RANDBETWEEN(1,50))</f>
        <v>P007</v>
      </c>
      <c r="E135" t="str" cm="1">
        <f t="array" aca="1" ref="E135" ca="1">INDEX(Warehouses[Warehouse ID],RANDBETWEEN(1,8))</f>
        <v>W007</v>
      </c>
      <c r="F135">
        <f t="shared" ca="1" si="6"/>
        <v>8</v>
      </c>
      <c r="G135">
        <f ca="1">_xlfn.XLOOKUP(Orders[[#This Row],[Product ID]],Products[Product ID],Products[Selling Price])</f>
        <v>6000</v>
      </c>
      <c r="H135" s="6">
        <f t="shared" ca="1" si="7"/>
        <v>0.04</v>
      </c>
      <c r="I135">
        <f ca="1">Orders[[#This Row],[Quantity]]*Orders[[#This Row],[Unit Price]]*(1-Orders[[#This Row],[Discount%]])</f>
        <v>46080</v>
      </c>
      <c r="J135" t="str" cm="1">
        <f t="array" aca="1" ref="J135" ca="1">INDEX(PaymentMethods[Payment Method],RANDBETWEEN(1,5))</f>
        <v>Net Banking</v>
      </c>
    </row>
    <row r="136" spans="1:10" x14ac:dyDescent="0.3">
      <c r="A136" t="str">
        <f t="shared" si="8"/>
        <v>O0135</v>
      </c>
      <c r="B136" s="6">
        <f ca="1">Orders[[#This Row],[Discount%]]</f>
        <v>0.05</v>
      </c>
      <c r="C136" t="str" cm="1">
        <f t="array" aca="1" ref="C136" ca="1">INDEX(Customers[Customer ID],RANDBETWEEN(1,200))</f>
        <v>C035</v>
      </c>
      <c r="D136" t="str" cm="1">
        <f t="array" aca="1" ref="D136" ca="1">INDEX(Products[Product ID],RANDBETWEEN(1,50))</f>
        <v>P037</v>
      </c>
      <c r="E136" t="str" cm="1">
        <f t="array" aca="1" ref="E136" ca="1">INDEX(Warehouses[Warehouse ID],RANDBETWEEN(1,8))</f>
        <v>W004</v>
      </c>
      <c r="F136">
        <f t="shared" ca="1" si="6"/>
        <v>10</v>
      </c>
      <c r="G136">
        <f ca="1">_xlfn.XLOOKUP(Orders[[#This Row],[Product ID]],Products[Product ID],Products[Selling Price])</f>
        <v>550</v>
      </c>
      <c r="H136" s="6">
        <f t="shared" ca="1" si="7"/>
        <v>0.05</v>
      </c>
      <c r="I136">
        <f ca="1">Orders[[#This Row],[Quantity]]*Orders[[#This Row],[Unit Price]]*(1-Orders[[#This Row],[Discount%]])</f>
        <v>5225</v>
      </c>
      <c r="J136" t="str" cm="1">
        <f t="array" aca="1" ref="J136" ca="1">INDEX(PaymentMethods[Payment Method],RANDBETWEEN(1,5))</f>
        <v>Credit Card</v>
      </c>
    </row>
    <row r="137" spans="1:10" x14ac:dyDescent="0.3">
      <c r="A137" t="str">
        <f t="shared" si="8"/>
        <v>O0136</v>
      </c>
      <c r="B137" s="6">
        <f ca="1">Orders[[#This Row],[Discount%]]</f>
        <v>0.02</v>
      </c>
      <c r="C137" t="str" cm="1">
        <f t="array" aca="1" ref="C137" ca="1">INDEX(Customers[Customer ID],RANDBETWEEN(1,200))</f>
        <v>C169</v>
      </c>
      <c r="D137" t="str" cm="1">
        <f t="array" aca="1" ref="D137" ca="1">INDEX(Products[Product ID],RANDBETWEEN(1,50))</f>
        <v>P048</v>
      </c>
      <c r="E137" t="str" cm="1">
        <f t="array" aca="1" ref="E137" ca="1">INDEX(Warehouses[Warehouse ID],RANDBETWEEN(1,8))</f>
        <v>W003</v>
      </c>
      <c r="F137">
        <f t="shared" ca="1" si="6"/>
        <v>2</v>
      </c>
      <c r="G137">
        <f ca="1">_xlfn.XLOOKUP(Orders[[#This Row],[Product ID]],Products[Product ID],Products[Selling Price])</f>
        <v>1200</v>
      </c>
      <c r="H137" s="6">
        <f t="shared" ca="1" si="7"/>
        <v>0.02</v>
      </c>
      <c r="I137">
        <f ca="1">Orders[[#This Row],[Quantity]]*Orders[[#This Row],[Unit Price]]*(1-Orders[[#This Row],[Discount%]])</f>
        <v>2352</v>
      </c>
      <c r="J137" t="str" cm="1">
        <f t="array" aca="1" ref="J137" ca="1">INDEX(PaymentMethods[Payment Method],RANDBETWEEN(1,5))</f>
        <v>Cash</v>
      </c>
    </row>
    <row r="138" spans="1:10" x14ac:dyDescent="0.3">
      <c r="A138" t="str">
        <f t="shared" si="8"/>
        <v>O0137</v>
      </c>
      <c r="B138" s="6">
        <f ca="1">Orders[[#This Row],[Discount%]]</f>
        <v>0.01</v>
      </c>
      <c r="C138" t="str" cm="1">
        <f t="array" aca="1" ref="C138" ca="1">INDEX(Customers[Customer ID],RANDBETWEEN(1,200))</f>
        <v>C009</v>
      </c>
      <c r="D138" t="str" cm="1">
        <f t="array" aca="1" ref="D138" ca="1">INDEX(Products[Product ID],RANDBETWEEN(1,50))</f>
        <v>P029</v>
      </c>
      <c r="E138" t="str" cm="1">
        <f t="array" aca="1" ref="E138" ca="1">INDEX(Warehouses[Warehouse ID],RANDBETWEEN(1,8))</f>
        <v>W008</v>
      </c>
      <c r="F138">
        <f t="shared" ca="1" si="6"/>
        <v>6</v>
      </c>
      <c r="G138">
        <f ca="1">_xlfn.XLOOKUP(Orders[[#This Row],[Product ID]],Products[Product ID],Products[Selling Price])</f>
        <v>3200</v>
      </c>
      <c r="H138" s="6">
        <f t="shared" ca="1" si="7"/>
        <v>0.01</v>
      </c>
      <c r="I138">
        <f ca="1">Orders[[#This Row],[Quantity]]*Orders[[#This Row],[Unit Price]]*(1-Orders[[#This Row],[Discount%]])</f>
        <v>19008</v>
      </c>
      <c r="J138" t="str" cm="1">
        <f t="array" aca="1" ref="J138" ca="1">INDEX(PaymentMethods[Payment Method],RANDBETWEEN(1,5))</f>
        <v>Credit Card</v>
      </c>
    </row>
    <row r="139" spans="1:10" x14ac:dyDescent="0.3">
      <c r="A139" t="str">
        <f t="shared" si="8"/>
        <v>O0138</v>
      </c>
      <c r="B139" s="6">
        <f ca="1">Orders[[#This Row],[Discount%]]</f>
        <v>0.05</v>
      </c>
      <c r="C139" t="str" cm="1">
        <f t="array" aca="1" ref="C139" ca="1">INDEX(Customers[Customer ID],RANDBETWEEN(1,200))</f>
        <v>C078</v>
      </c>
      <c r="D139" t="str" cm="1">
        <f t="array" aca="1" ref="D139" ca="1">INDEX(Products[Product ID],RANDBETWEEN(1,50))</f>
        <v>P006</v>
      </c>
      <c r="E139" t="str" cm="1">
        <f t="array" aca="1" ref="E139" ca="1">INDEX(Warehouses[Warehouse ID],RANDBETWEEN(1,8))</f>
        <v>W003</v>
      </c>
      <c r="F139">
        <f t="shared" ca="1" si="6"/>
        <v>7</v>
      </c>
      <c r="G139">
        <f ca="1">_xlfn.XLOOKUP(Orders[[#This Row],[Product ID]],Products[Product ID],Products[Selling Price])</f>
        <v>3500</v>
      </c>
      <c r="H139" s="6">
        <f t="shared" ca="1" si="7"/>
        <v>0.05</v>
      </c>
      <c r="I139">
        <f ca="1">Orders[[#This Row],[Quantity]]*Orders[[#This Row],[Unit Price]]*(1-Orders[[#This Row],[Discount%]])</f>
        <v>23275</v>
      </c>
      <c r="J139" t="str" cm="1">
        <f t="array" aca="1" ref="J139" ca="1">INDEX(PaymentMethods[Payment Method],RANDBETWEEN(1,5))</f>
        <v>Credit Card</v>
      </c>
    </row>
    <row r="140" spans="1:10" x14ac:dyDescent="0.3">
      <c r="A140" t="str">
        <f t="shared" si="8"/>
        <v>O0139</v>
      </c>
      <c r="B140" s="6">
        <f ca="1">Orders[[#This Row],[Discount%]]</f>
        <v>0.06</v>
      </c>
      <c r="C140" t="str" cm="1">
        <f t="array" aca="1" ref="C140" ca="1">INDEX(Customers[Customer ID],RANDBETWEEN(1,200))</f>
        <v>C106</v>
      </c>
      <c r="D140" t="str" cm="1">
        <f t="array" aca="1" ref="D140" ca="1">INDEX(Products[Product ID],RANDBETWEEN(1,50))</f>
        <v>P026</v>
      </c>
      <c r="E140" t="str" cm="1">
        <f t="array" aca="1" ref="E140" ca="1">INDEX(Warehouses[Warehouse ID],RANDBETWEEN(1,8))</f>
        <v>W008</v>
      </c>
      <c r="F140">
        <f t="shared" ca="1" si="6"/>
        <v>2</v>
      </c>
      <c r="G140">
        <f ca="1">_xlfn.XLOOKUP(Orders[[#This Row],[Product ID]],Products[Product ID],Products[Selling Price])</f>
        <v>650</v>
      </c>
      <c r="H140" s="6">
        <f t="shared" ca="1" si="7"/>
        <v>0.06</v>
      </c>
      <c r="I140">
        <f ca="1">Orders[[#This Row],[Quantity]]*Orders[[#This Row],[Unit Price]]*(1-Orders[[#This Row],[Discount%]])</f>
        <v>1222</v>
      </c>
      <c r="J140" t="str" cm="1">
        <f t="array" aca="1" ref="J140" ca="1">INDEX(PaymentMethods[Payment Method],RANDBETWEEN(1,5))</f>
        <v>Debit Card</v>
      </c>
    </row>
    <row r="141" spans="1:10" x14ac:dyDescent="0.3">
      <c r="A141" t="str">
        <f t="shared" si="8"/>
        <v>O0140</v>
      </c>
      <c r="B141" s="6">
        <f ca="1">Orders[[#This Row],[Discount%]]</f>
        <v>0</v>
      </c>
      <c r="C141" t="str" cm="1">
        <f t="array" aca="1" ref="C141" ca="1">INDEX(Customers[Customer ID],RANDBETWEEN(1,200))</f>
        <v>C033</v>
      </c>
      <c r="D141" t="str" cm="1">
        <f t="array" aca="1" ref="D141" ca="1">INDEX(Products[Product ID],RANDBETWEEN(1,50))</f>
        <v>P019</v>
      </c>
      <c r="E141" t="str" cm="1">
        <f t="array" aca="1" ref="E141" ca="1">INDEX(Warehouses[Warehouse ID],RANDBETWEEN(1,8))</f>
        <v>W007</v>
      </c>
      <c r="F141">
        <f t="shared" ca="1" si="6"/>
        <v>7</v>
      </c>
      <c r="G141">
        <f ca="1">_xlfn.XLOOKUP(Orders[[#This Row],[Product ID]],Products[Product ID],Products[Selling Price])</f>
        <v>950</v>
      </c>
      <c r="H141" s="6">
        <f t="shared" ca="1" si="7"/>
        <v>0</v>
      </c>
      <c r="I141">
        <f ca="1">Orders[[#This Row],[Quantity]]*Orders[[#This Row],[Unit Price]]*(1-Orders[[#This Row],[Discount%]])</f>
        <v>6650</v>
      </c>
      <c r="J141" t="str" cm="1">
        <f t="array" aca="1" ref="J141" ca="1">INDEX(PaymentMethods[Payment Method],RANDBETWEEN(1,5))</f>
        <v>UPI</v>
      </c>
    </row>
    <row r="142" spans="1:10" x14ac:dyDescent="0.3">
      <c r="A142" t="str">
        <f t="shared" si="8"/>
        <v>O0141</v>
      </c>
      <c r="B142" s="6">
        <f ca="1">Orders[[#This Row],[Discount%]]</f>
        <v>0.15</v>
      </c>
      <c r="C142" t="str" cm="1">
        <f t="array" aca="1" ref="C142" ca="1">INDEX(Customers[Customer ID],RANDBETWEEN(1,200))</f>
        <v>C121</v>
      </c>
      <c r="D142" t="str" cm="1">
        <f t="array" aca="1" ref="D142" ca="1">INDEX(Products[Product ID],RANDBETWEEN(1,50))</f>
        <v>P030</v>
      </c>
      <c r="E142" t="str" cm="1">
        <f t="array" aca="1" ref="E142" ca="1">INDEX(Warehouses[Warehouse ID],RANDBETWEEN(1,8))</f>
        <v>W004</v>
      </c>
      <c r="F142">
        <f t="shared" ca="1" si="6"/>
        <v>10</v>
      </c>
      <c r="G142">
        <f ca="1">_xlfn.XLOOKUP(Orders[[#This Row],[Product ID]],Products[Product ID],Products[Selling Price])</f>
        <v>4800</v>
      </c>
      <c r="H142" s="6">
        <f t="shared" ca="1" si="7"/>
        <v>0.15</v>
      </c>
      <c r="I142">
        <f ca="1">Orders[[#This Row],[Quantity]]*Orders[[#This Row],[Unit Price]]*(1-Orders[[#This Row],[Discount%]])</f>
        <v>40800</v>
      </c>
      <c r="J142" t="str" cm="1">
        <f t="array" aca="1" ref="J142" ca="1">INDEX(PaymentMethods[Payment Method],RANDBETWEEN(1,5))</f>
        <v>Cash</v>
      </c>
    </row>
    <row r="143" spans="1:10" x14ac:dyDescent="0.3">
      <c r="A143" t="str">
        <f t="shared" si="8"/>
        <v>O0142</v>
      </c>
      <c r="B143" s="6">
        <f ca="1">Orders[[#This Row],[Discount%]]</f>
        <v>0.06</v>
      </c>
      <c r="C143" t="str" cm="1">
        <f t="array" aca="1" ref="C143" ca="1">INDEX(Customers[Customer ID],RANDBETWEEN(1,200))</f>
        <v>C019</v>
      </c>
      <c r="D143" t="str" cm="1">
        <f t="array" aca="1" ref="D143" ca="1">INDEX(Products[Product ID],RANDBETWEEN(1,50))</f>
        <v>P007</v>
      </c>
      <c r="E143" t="str" cm="1">
        <f t="array" aca="1" ref="E143" ca="1">INDEX(Warehouses[Warehouse ID],RANDBETWEEN(1,8))</f>
        <v>W006</v>
      </c>
      <c r="F143">
        <f t="shared" ca="1" si="6"/>
        <v>9</v>
      </c>
      <c r="G143">
        <f ca="1">_xlfn.XLOOKUP(Orders[[#This Row],[Product ID]],Products[Product ID],Products[Selling Price])</f>
        <v>6000</v>
      </c>
      <c r="H143" s="6">
        <f t="shared" ca="1" si="7"/>
        <v>0.06</v>
      </c>
      <c r="I143">
        <f ca="1">Orders[[#This Row],[Quantity]]*Orders[[#This Row],[Unit Price]]*(1-Orders[[#This Row],[Discount%]])</f>
        <v>50760</v>
      </c>
      <c r="J143" t="str" cm="1">
        <f t="array" aca="1" ref="J143" ca="1">INDEX(PaymentMethods[Payment Method],RANDBETWEEN(1,5))</f>
        <v>Debit Card</v>
      </c>
    </row>
    <row r="144" spans="1:10" x14ac:dyDescent="0.3">
      <c r="A144" t="str">
        <f t="shared" si="8"/>
        <v>O0143</v>
      </c>
      <c r="B144" s="6">
        <f ca="1">Orders[[#This Row],[Discount%]]</f>
        <v>0.06</v>
      </c>
      <c r="C144" t="str" cm="1">
        <f t="array" aca="1" ref="C144" ca="1">INDEX(Customers[Customer ID],RANDBETWEEN(1,200))</f>
        <v>C124</v>
      </c>
      <c r="D144" t="str" cm="1">
        <f t="array" aca="1" ref="D144" ca="1">INDEX(Products[Product ID],RANDBETWEEN(1,50))</f>
        <v>P018</v>
      </c>
      <c r="E144" t="str" cm="1">
        <f t="array" aca="1" ref="E144" ca="1">INDEX(Warehouses[Warehouse ID],RANDBETWEEN(1,8))</f>
        <v>W006</v>
      </c>
      <c r="F144">
        <f t="shared" ca="1" si="6"/>
        <v>9</v>
      </c>
      <c r="G144">
        <f ca="1">_xlfn.XLOOKUP(Orders[[#This Row],[Product ID]],Products[Product ID],Products[Selling Price])</f>
        <v>1500</v>
      </c>
      <c r="H144" s="6">
        <f t="shared" ca="1" si="7"/>
        <v>0.06</v>
      </c>
      <c r="I144">
        <f ca="1">Orders[[#This Row],[Quantity]]*Orders[[#This Row],[Unit Price]]*(1-Orders[[#This Row],[Discount%]])</f>
        <v>12690</v>
      </c>
      <c r="J144" t="str" cm="1">
        <f t="array" aca="1" ref="J144" ca="1">INDEX(PaymentMethods[Payment Method],RANDBETWEEN(1,5))</f>
        <v>Net Banking</v>
      </c>
    </row>
    <row r="145" spans="1:10" x14ac:dyDescent="0.3">
      <c r="A145" t="str">
        <f t="shared" si="8"/>
        <v>O0144</v>
      </c>
      <c r="B145" s="6">
        <f ca="1">Orders[[#This Row],[Discount%]]</f>
        <v>0.11</v>
      </c>
      <c r="C145" t="str" cm="1">
        <f t="array" aca="1" ref="C145" ca="1">INDEX(Customers[Customer ID],RANDBETWEEN(1,200))</f>
        <v>C001</v>
      </c>
      <c r="D145" t="str" cm="1">
        <f t="array" aca="1" ref="D145" ca="1">INDEX(Products[Product ID],RANDBETWEEN(1,50))</f>
        <v>P041</v>
      </c>
      <c r="E145" t="str" cm="1">
        <f t="array" aca="1" ref="E145" ca="1">INDEX(Warehouses[Warehouse ID],RANDBETWEEN(1,8))</f>
        <v>W004</v>
      </c>
      <c r="F145">
        <f t="shared" ca="1" si="6"/>
        <v>8</v>
      </c>
      <c r="G145">
        <f ca="1">_xlfn.XLOOKUP(Orders[[#This Row],[Product ID]],Products[Product ID],Products[Selling Price])</f>
        <v>36000</v>
      </c>
      <c r="H145" s="6">
        <f t="shared" ca="1" si="7"/>
        <v>0.11</v>
      </c>
      <c r="I145">
        <f ca="1">Orders[[#This Row],[Quantity]]*Orders[[#This Row],[Unit Price]]*(1-Orders[[#This Row],[Discount%]])</f>
        <v>256320</v>
      </c>
      <c r="J145" t="str" cm="1">
        <f t="array" aca="1" ref="J145" ca="1">INDEX(PaymentMethods[Payment Method],RANDBETWEEN(1,5))</f>
        <v>Debit Card</v>
      </c>
    </row>
    <row r="146" spans="1:10" x14ac:dyDescent="0.3">
      <c r="A146" t="str">
        <f t="shared" si="8"/>
        <v>O0145</v>
      </c>
      <c r="B146" s="6">
        <f ca="1">Orders[[#This Row],[Discount%]]</f>
        <v>0.05</v>
      </c>
      <c r="C146" t="str" cm="1">
        <f t="array" aca="1" ref="C146" ca="1">INDEX(Customers[Customer ID],RANDBETWEEN(1,200))</f>
        <v>C081</v>
      </c>
      <c r="D146" t="str" cm="1">
        <f t="array" aca="1" ref="D146" ca="1">INDEX(Products[Product ID],RANDBETWEEN(1,50))</f>
        <v>P011</v>
      </c>
      <c r="E146" t="str" cm="1">
        <f t="array" aca="1" ref="E146" ca="1">INDEX(Warehouses[Warehouse ID],RANDBETWEEN(1,8))</f>
        <v>W001</v>
      </c>
      <c r="F146">
        <f t="shared" ca="1" si="6"/>
        <v>9</v>
      </c>
      <c r="G146">
        <f ca="1">_xlfn.XLOOKUP(Orders[[#This Row],[Product ID]],Products[Product ID],Products[Selling Price])</f>
        <v>1200</v>
      </c>
      <c r="H146" s="6">
        <f t="shared" ca="1" si="7"/>
        <v>0.05</v>
      </c>
      <c r="I146">
        <f ca="1">Orders[[#This Row],[Quantity]]*Orders[[#This Row],[Unit Price]]*(1-Orders[[#This Row],[Discount%]])</f>
        <v>10260</v>
      </c>
      <c r="J146" t="str" cm="1">
        <f t="array" aca="1" ref="J146" ca="1">INDEX(PaymentMethods[Payment Method],RANDBETWEEN(1,5))</f>
        <v>Net Banking</v>
      </c>
    </row>
    <row r="147" spans="1:10" x14ac:dyDescent="0.3">
      <c r="A147" t="str">
        <f t="shared" si="8"/>
        <v>O0146</v>
      </c>
      <c r="B147" s="6">
        <f ca="1">Orders[[#This Row],[Discount%]]</f>
        <v>0.09</v>
      </c>
      <c r="C147" t="str" cm="1">
        <f t="array" aca="1" ref="C147" ca="1">INDEX(Customers[Customer ID],RANDBETWEEN(1,200))</f>
        <v>C076</v>
      </c>
      <c r="D147" t="str" cm="1">
        <f t="array" aca="1" ref="D147" ca="1">INDEX(Products[Product ID],RANDBETWEEN(1,50))</f>
        <v>P007</v>
      </c>
      <c r="E147" t="str" cm="1">
        <f t="array" aca="1" ref="E147" ca="1">INDEX(Warehouses[Warehouse ID],RANDBETWEEN(1,8))</f>
        <v>W006</v>
      </c>
      <c r="F147">
        <f t="shared" ca="1" si="6"/>
        <v>2</v>
      </c>
      <c r="G147">
        <f ca="1">_xlfn.XLOOKUP(Orders[[#This Row],[Product ID]],Products[Product ID],Products[Selling Price])</f>
        <v>6000</v>
      </c>
      <c r="H147" s="6">
        <f t="shared" ca="1" si="7"/>
        <v>0.09</v>
      </c>
      <c r="I147">
        <f ca="1">Orders[[#This Row],[Quantity]]*Orders[[#This Row],[Unit Price]]*(1-Orders[[#This Row],[Discount%]])</f>
        <v>10920</v>
      </c>
      <c r="J147" t="str" cm="1">
        <f t="array" aca="1" ref="J147" ca="1">INDEX(PaymentMethods[Payment Method],RANDBETWEEN(1,5))</f>
        <v>Debit Card</v>
      </c>
    </row>
    <row r="148" spans="1:10" x14ac:dyDescent="0.3">
      <c r="A148" t="str">
        <f t="shared" si="8"/>
        <v>O0147</v>
      </c>
      <c r="B148" s="6">
        <f ca="1">Orders[[#This Row],[Discount%]]</f>
        <v>0.01</v>
      </c>
      <c r="C148" t="str" cm="1">
        <f t="array" aca="1" ref="C148" ca="1">INDEX(Customers[Customer ID],RANDBETWEEN(1,200))</f>
        <v>C111</v>
      </c>
      <c r="D148" t="str" cm="1">
        <f t="array" aca="1" ref="D148" ca="1">INDEX(Products[Product ID],RANDBETWEEN(1,50))</f>
        <v>P003</v>
      </c>
      <c r="E148" t="str" cm="1">
        <f t="array" aca="1" ref="E148" ca="1">INDEX(Warehouses[Warehouse ID],RANDBETWEEN(1,8))</f>
        <v>W004</v>
      </c>
      <c r="F148">
        <f t="shared" ca="1" si="6"/>
        <v>3</v>
      </c>
      <c r="G148">
        <f ca="1">_xlfn.XLOOKUP(Orders[[#This Row],[Product ID]],Products[Product ID],Products[Selling Price])</f>
        <v>900</v>
      </c>
      <c r="H148" s="6">
        <f t="shared" ca="1" si="7"/>
        <v>0.01</v>
      </c>
      <c r="I148">
        <f ca="1">Orders[[#This Row],[Quantity]]*Orders[[#This Row],[Unit Price]]*(1-Orders[[#This Row],[Discount%]])</f>
        <v>2673</v>
      </c>
      <c r="J148" t="str" cm="1">
        <f t="array" aca="1" ref="J148" ca="1">INDEX(PaymentMethods[Payment Method],RANDBETWEEN(1,5))</f>
        <v>UPI</v>
      </c>
    </row>
    <row r="149" spans="1:10" x14ac:dyDescent="0.3">
      <c r="A149" t="str">
        <f t="shared" si="8"/>
        <v>O0148</v>
      </c>
      <c r="B149" s="6">
        <f ca="1">Orders[[#This Row],[Discount%]]</f>
        <v>0.14000000000000001</v>
      </c>
      <c r="C149" t="str" cm="1">
        <f t="array" aca="1" ref="C149" ca="1">INDEX(Customers[Customer ID],RANDBETWEEN(1,200))</f>
        <v>C042</v>
      </c>
      <c r="D149" t="str" cm="1">
        <f t="array" aca="1" ref="D149" ca="1">INDEX(Products[Product ID],RANDBETWEEN(1,50))</f>
        <v>P001</v>
      </c>
      <c r="E149" t="str" cm="1">
        <f t="array" aca="1" ref="E149" ca="1">INDEX(Warehouses[Warehouse ID],RANDBETWEEN(1,8))</f>
        <v>W007</v>
      </c>
      <c r="F149">
        <f t="shared" ca="1" si="6"/>
        <v>7</v>
      </c>
      <c r="G149">
        <f ca="1">_xlfn.XLOOKUP(Orders[[#This Row],[Product ID]],Products[Product ID],Products[Selling Price])</f>
        <v>42000</v>
      </c>
      <c r="H149" s="6">
        <f t="shared" ca="1" si="7"/>
        <v>0.14000000000000001</v>
      </c>
      <c r="I149">
        <f ca="1">Orders[[#This Row],[Quantity]]*Orders[[#This Row],[Unit Price]]*(1-Orders[[#This Row],[Discount%]])</f>
        <v>252840</v>
      </c>
      <c r="J149" t="str" cm="1">
        <f t="array" aca="1" ref="J149" ca="1">INDEX(PaymentMethods[Payment Method],RANDBETWEEN(1,5))</f>
        <v>Cash</v>
      </c>
    </row>
    <row r="150" spans="1:10" x14ac:dyDescent="0.3">
      <c r="A150" t="str">
        <f t="shared" si="8"/>
        <v>O0149</v>
      </c>
      <c r="B150" s="6">
        <f ca="1">Orders[[#This Row],[Discount%]]</f>
        <v>0.1</v>
      </c>
      <c r="C150" t="str" cm="1">
        <f t="array" aca="1" ref="C150" ca="1">INDEX(Customers[Customer ID],RANDBETWEEN(1,200))</f>
        <v>C180</v>
      </c>
      <c r="D150" t="str" cm="1">
        <f t="array" aca="1" ref="D150" ca="1">INDEX(Products[Product ID],RANDBETWEEN(1,50))</f>
        <v>P015</v>
      </c>
      <c r="E150" t="str" cm="1">
        <f t="array" aca="1" ref="E150" ca="1">INDEX(Warehouses[Warehouse ID],RANDBETWEEN(1,8))</f>
        <v>W001</v>
      </c>
      <c r="F150">
        <f t="shared" ca="1" si="6"/>
        <v>10</v>
      </c>
      <c r="G150">
        <f ca="1">_xlfn.XLOOKUP(Orders[[#This Row],[Product ID]],Products[Product ID],Products[Selling Price])</f>
        <v>1800</v>
      </c>
      <c r="H150" s="6">
        <f t="shared" ca="1" si="7"/>
        <v>0.1</v>
      </c>
      <c r="I150">
        <f ca="1">Orders[[#This Row],[Quantity]]*Orders[[#This Row],[Unit Price]]*(1-Orders[[#This Row],[Discount%]])</f>
        <v>16200</v>
      </c>
      <c r="J150" t="str" cm="1">
        <f t="array" aca="1" ref="J150" ca="1">INDEX(PaymentMethods[Payment Method],RANDBETWEEN(1,5))</f>
        <v>Credit Card</v>
      </c>
    </row>
    <row r="151" spans="1:10" x14ac:dyDescent="0.3">
      <c r="A151" t="str">
        <f t="shared" si="8"/>
        <v>O0150</v>
      </c>
      <c r="B151" s="6">
        <f ca="1">Orders[[#This Row],[Discount%]]</f>
        <v>0.03</v>
      </c>
      <c r="C151" t="str" cm="1">
        <f t="array" aca="1" ref="C151" ca="1">INDEX(Customers[Customer ID],RANDBETWEEN(1,200))</f>
        <v>C067</v>
      </c>
      <c r="D151" t="str" cm="1">
        <f t="array" aca="1" ref="D151" ca="1">INDEX(Products[Product ID],RANDBETWEEN(1,50))</f>
        <v>P024</v>
      </c>
      <c r="E151" t="str" cm="1">
        <f t="array" aca="1" ref="E151" ca="1">INDEX(Warehouses[Warehouse ID],RANDBETWEEN(1,8))</f>
        <v>W005</v>
      </c>
      <c r="F151">
        <f t="shared" ca="1" si="6"/>
        <v>7</v>
      </c>
      <c r="G151">
        <f ca="1">_xlfn.XLOOKUP(Orders[[#This Row],[Product ID]],Products[Product ID],Products[Selling Price])</f>
        <v>1700</v>
      </c>
      <c r="H151" s="6">
        <f t="shared" ca="1" si="7"/>
        <v>0.03</v>
      </c>
      <c r="I151">
        <f ca="1">Orders[[#This Row],[Quantity]]*Orders[[#This Row],[Unit Price]]*(1-Orders[[#This Row],[Discount%]])</f>
        <v>11543</v>
      </c>
      <c r="J151" t="str" cm="1">
        <f t="array" aca="1" ref="J151" ca="1">INDEX(PaymentMethods[Payment Method],RANDBETWEEN(1,5))</f>
        <v>Net Banking</v>
      </c>
    </row>
    <row r="152" spans="1:10" x14ac:dyDescent="0.3">
      <c r="A152" t="str">
        <f t="shared" si="8"/>
        <v>O0151</v>
      </c>
      <c r="B152" s="6">
        <f ca="1">Orders[[#This Row],[Discount%]]</f>
        <v>0.06</v>
      </c>
      <c r="C152" t="str" cm="1">
        <f t="array" aca="1" ref="C152" ca="1">INDEX(Customers[Customer ID],RANDBETWEEN(1,200))</f>
        <v>C104</v>
      </c>
      <c r="D152" t="str" cm="1">
        <f t="array" aca="1" ref="D152" ca="1">INDEX(Products[Product ID],RANDBETWEEN(1,50))</f>
        <v>P005</v>
      </c>
      <c r="E152" t="str" cm="1">
        <f t="array" aca="1" ref="E152" ca="1">INDEX(Warehouses[Warehouse ID],RANDBETWEEN(1,8))</f>
        <v>W002</v>
      </c>
      <c r="F152">
        <f t="shared" ca="1" si="6"/>
        <v>8</v>
      </c>
      <c r="G152">
        <f ca="1">_xlfn.XLOOKUP(Orders[[#This Row],[Product ID]],Products[Product ID],Products[Selling Price])</f>
        <v>10500</v>
      </c>
      <c r="H152" s="6">
        <f t="shared" ca="1" si="7"/>
        <v>0.06</v>
      </c>
      <c r="I152">
        <f ca="1">Orders[[#This Row],[Quantity]]*Orders[[#This Row],[Unit Price]]*(1-Orders[[#This Row],[Discount%]])</f>
        <v>78960</v>
      </c>
      <c r="J152" t="str" cm="1">
        <f t="array" aca="1" ref="J152" ca="1">INDEX(PaymentMethods[Payment Method],RANDBETWEEN(1,5))</f>
        <v>Credit Card</v>
      </c>
    </row>
    <row r="153" spans="1:10" x14ac:dyDescent="0.3">
      <c r="A153" t="str">
        <f t="shared" si="8"/>
        <v>O0152</v>
      </c>
      <c r="B153" s="6">
        <f ca="1">Orders[[#This Row],[Discount%]]</f>
        <v>0.15</v>
      </c>
      <c r="C153" t="str" cm="1">
        <f t="array" aca="1" ref="C153" ca="1">INDEX(Customers[Customer ID],RANDBETWEEN(1,200))</f>
        <v>C130</v>
      </c>
      <c r="D153" t="str" cm="1">
        <f t="array" aca="1" ref="D153" ca="1">INDEX(Products[Product ID],RANDBETWEEN(1,50))</f>
        <v>P028</v>
      </c>
      <c r="E153" t="str" cm="1">
        <f t="array" aca="1" ref="E153" ca="1">INDEX(Warehouses[Warehouse ID],RANDBETWEEN(1,8))</f>
        <v>W003</v>
      </c>
      <c r="F153">
        <f t="shared" ca="1" si="6"/>
        <v>3</v>
      </c>
      <c r="G153">
        <f ca="1">_xlfn.XLOOKUP(Orders[[#This Row],[Product ID]],Products[Product ID],Products[Selling Price])</f>
        <v>16500</v>
      </c>
      <c r="H153" s="6">
        <f t="shared" ca="1" si="7"/>
        <v>0.15</v>
      </c>
      <c r="I153">
        <f ca="1">Orders[[#This Row],[Quantity]]*Orders[[#This Row],[Unit Price]]*(1-Orders[[#This Row],[Discount%]])</f>
        <v>42075</v>
      </c>
      <c r="J153" t="str" cm="1">
        <f t="array" aca="1" ref="J153" ca="1">INDEX(PaymentMethods[Payment Method],RANDBETWEEN(1,5))</f>
        <v>Debit Card</v>
      </c>
    </row>
    <row r="154" spans="1:10" x14ac:dyDescent="0.3">
      <c r="A154" t="str">
        <f t="shared" si="8"/>
        <v>O0153</v>
      </c>
      <c r="B154" s="6">
        <f ca="1">Orders[[#This Row],[Discount%]]</f>
        <v>0.12</v>
      </c>
      <c r="C154" t="str" cm="1">
        <f t="array" aca="1" ref="C154" ca="1">INDEX(Customers[Customer ID],RANDBETWEEN(1,200))</f>
        <v>C169</v>
      </c>
      <c r="D154" t="str" cm="1">
        <f t="array" aca="1" ref="D154" ca="1">INDEX(Products[Product ID],RANDBETWEEN(1,50))</f>
        <v>P023</v>
      </c>
      <c r="E154" t="str" cm="1">
        <f t="array" aca="1" ref="E154" ca="1">INDEX(Warehouses[Warehouse ID],RANDBETWEEN(1,8))</f>
        <v>W007</v>
      </c>
      <c r="F154">
        <f t="shared" ca="1" si="6"/>
        <v>10</v>
      </c>
      <c r="G154">
        <f ca="1">_xlfn.XLOOKUP(Orders[[#This Row],[Product ID]],Products[Product ID],Products[Selling Price])</f>
        <v>2300</v>
      </c>
      <c r="H154" s="6">
        <f t="shared" ca="1" si="7"/>
        <v>0.12</v>
      </c>
      <c r="I154">
        <f ca="1">Orders[[#This Row],[Quantity]]*Orders[[#This Row],[Unit Price]]*(1-Orders[[#This Row],[Discount%]])</f>
        <v>20240</v>
      </c>
      <c r="J154" t="str" cm="1">
        <f t="array" aca="1" ref="J154" ca="1">INDEX(PaymentMethods[Payment Method],RANDBETWEEN(1,5))</f>
        <v>Net Banking</v>
      </c>
    </row>
    <row r="155" spans="1:10" x14ac:dyDescent="0.3">
      <c r="A155" t="str">
        <f t="shared" si="8"/>
        <v>O0154</v>
      </c>
      <c r="B155" s="6">
        <f ca="1">Orders[[#This Row],[Discount%]]</f>
        <v>0.11</v>
      </c>
      <c r="C155" t="str" cm="1">
        <f t="array" aca="1" ref="C155" ca="1">INDEX(Customers[Customer ID],RANDBETWEEN(1,200))</f>
        <v>C084</v>
      </c>
      <c r="D155" t="str" cm="1">
        <f t="array" aca="1" ref="D155" ca="1">INDEX(Products[Product ID],RANDBETWEEN(1,50))</f>
        <v>P033</v>
      </c>
      <c r="E155" t="str" cm="1">
        <f t="array" aca="1" ref="E155" ca="1">INDEX(Warehouses[Warehouse ID],RANDBETWEEN(1,8))</f>
        <v>W003</v>
      </c>
      <c r="F155">
        <f t="shared" ca="1" si="6"/>
        <v>2</v>
      </c>
      <c r="G155">
        <f ca="1">_xlfn.XLOOKUP(Orders[[#This Row],[Product ID]],Products[Product ID],Products[Selling Price])</f>
        <v>180</v>
      </c>
      <c r="H155" s="6">
        <f t="shared" ca="1" si="7"/>
        <v>0.11</v>
      </c>
      <c r="I155">
        <f ca="1">Orders[[#This Row],[Quantity]]*Orders[[#This Row],[Unit Price]]*(1-Orders[[#This Row],[Discount%]])</f>
        <v>320.39999999999998</v>
      </c>
      <c r="J155" t="str" cm="1">
        <f t="array" aca="1" ref="J155" ca="1">INDEX(PaymentMethods[Payment Method],RANDBETWEEN(1,5))</f>
        <v>Debit Card</v>
      </c>
    </row>
    <row r="156" spans="1:10" x14ac:dyDescent="0.3">
      <c r="A156" t="str">
        <f t="shared" si="8"/>
        <v>O0155</v>
      </c>
      <c r="B156" s="6">
        <f ca="1">Orders[[#This Row],[Discount%]]</f>
        <v>0</v>
      </c>
      <c r="C156" t="str" cm="1">
        <f t="array" aca="1" ref="C156" ca="1">INDEX(Customers[Customer ID],RANDBETWEEN(1,200))</f>
        <v>C063</v>
      </c>
      <c r="D156" t="str" cm="1">
        <f t="array" aca="1" ref="D156" ca="1">INDEX(Products[Product ID],RANDBETWEEN(1,50))</f>
        <v>P032</v>
      </c>
      <c r="E156" t="str" cm="1">
        <f t="array" aca="1" ref="E156" ca="1">INDEX(Warehouses[Warehouse ID],RANDBETWEEN(1,8))</f>
        <v>W006</v>
      </c>
      <c r="F156">
        <f t="shared" ca="1" si="6"/>
        <v>8</v>
      </c>
      <c r="G156">
        <f ca="1">_xlfn.XLOOKUP(Orders[[#This Row],[Product ID]],Products[Product ID],Products[Selling Price])</f>
        <v>220</v>
      </c>
      <c r="H156" s="6">
        <f t="shared" ca="1" si="7"/>
        <v>0</v>
      </c>
      <c r="I156">
        <f ca="1">Orders[[#This Row],[Quantity]]*Orders[[#This Row],[Unit Price]]*(1-Orders[[#This Row],[Discount%]])</f>
        <v>1760</v>
      </c>
      <c r="J156" t="str" cm="1">
        <f t="array" aca="1" ref="J156" ca="1">INDEX(PaymentMethods[Payment Method],RANDBETWEEN(1,5))</f>
        <v>Net Banking</v>
      </c>
    </row>
    <row r="157" spans="1:10" x14ac:dyDescent="0.3">
      <c r="A157" t="str">
        <f t="shared" si="8"/>
        <v>O0156</v>
      </c>
      <c r="B157" s="6">
        <f ca="1">Orders[[#This Row],[Discount%]]</f>
        <v>0.16</v>
      </c>
      <c r="C157" t="str" cm="1">
        <f t="array" aca="1" ref="C157" ca="1">INDEX(Customers[Customer ID],RANDBETWEEN(1,200))</f>
        <v>C010</v>
      </c>
      <c r="D157" t="str" cm="1">
        <f t="array" aca="1" ref="D157" ca="1">INDEX(Products[Product ID],RANDBETWEEN(1,50))</f>
        <v>P038</v>
      </c>
      <c r="E157" t="str" cm="1">
        <f t="array" aca="1" ref="E157" ca="1">INDEX(Warehouses[Warehouse ID],RANDBETWEEN(1,8))</f>
        <v>W002</v>
      </c>
      <c r="F157">
        <f t="shared" ca="1" si="6"/>
        <v>8</v>
      </c>
      <c r="G157">
        <f ca="1">_xlfn.XLOOKUP(Orders[[#This Row],[Product ID]],Products[Product ID],Products[Selling Price])</f>
        <v>1500</v>
      </c>
      <c r="H157" s="6">
        <f t="shared" ca="1" si="7"/>
        <v>0.16</v>
      </c>
      <c r="I157">
        <f ca="1">Orders[[#This Row],[Quantity]]*Orders[[#This Row],[Unit Price]]*(1-Orders[[#This Row],[Discount%]])</f>
        <v>10080</v>
      </c>
      <c r="J157" t="str" cm="1">
        <f t="array" aca="1" ref="J157" ca="1">INDEX(PaymentMethods[Payment Method],RANDBETWEEN(1,5))</f>
        <v>Credit Card</v>
      </c>
    </row>
    <row r="158" spans="1:10" x14ac:dyDescent="0.3">
      <c r="A158" t="str">
        <f t="shared" si="8"/>
        <v>O0157</v>
      </c>
      <c r="B158" s="6">
        <f ca="1">Orders[[#This Row],[Discount%]]</f>
        <v>0.16</v>
      </c>
      <c r="C158" t="str" cm="1">
        <f t="array" aca="1" ref="C158" ca="1">INDEX(Customers[Customer ID],RANDBETWEEN(1,200))</f>
        <v>C059</v>
      </c>
      <c r="D158" t="str" cm="1">
        <f t="array" aca="1" ref="D158" ca="1">INDEX(Products[Product ID],RANDBETWEEN(1,50))</f>
        <v>P012</v>
      </c>
      <c r="E158" t="str" cm="1">
        <f t="array" aca="1" ref="E158" ca="1">INDEX(Warehouses[Warehouse ID],RANDBETWEEN(1,8))</f>
        <v>W006</v>
      </c>
      <c r="F158">
        <f t="shared" ca="1" si="6"/>
        <v>6</v>
      </c>
      <c r="G158">
        <f ca="1">_xlfn.XLOOKUP(Orders[[#This Row],[Product ID]],Products[Product ID],Products[Selling Price])</f>
        <v>80</v>
      </c>
      <c r="H158" s="6">
        <f t="shared" ca="1" si="7"/>
        <v>0.16</v>
      </c>
      <c r="I158">
        <f ca="1">Orders[[#This Row],[Quantity]]*Orders[[#This Row],[Unit Price]]*(1-Orders[[#This Row],[Discount%]])</f>
        <v>403.2</v>
      </c>
      <c r="J158" t="str" cm="1">
        <f t="array" aca="1" ref="J158" ca="1">INDEX(PaymentMethods[Payment Method],RANDBETWEEN(1,5))</f>
        <v>Cash</v>
      </c>
    </row>
    <row r="159" spans="1:10" x14ac:dyDescent="0.3">
      <c r="A159" t="str">
        <f t="shared" si="8"/>
        <v>O0158</v>
      </c>
      <c r="B159" s="6">
        <f ca="1">Orders[[#This Row],[Discount%]]</f>
        <v>0.15</v>
      </c>
      <c r="C159" t="str" cm="1">
        <f t="array" aca="1" ref="C159" ca="1">INDEX(Customers[Customer ID],RANDBETWEEN(1,200))</f>
        <v>C079</v>
      </c>
      <c r="D159" t="str" cm="1">
        <f t="array" aca="1" ref="D159" ca="1">INDEX(Products[Product ID],RANDBETWEEN(1,50))</f>
        <v>P027</v>
      </c>
      <c r="E159" t="str" cm="1">
        <f t="array" aca="1" ref="E159" ca="1">INDEX(Warehouses[Warehouse ID],RANDBETWEEN(1,8))</f>
        <v>W006</v>
      </c>
      <c r="F159">
        <f t="shared" ca="1" si="6"/>
        <v>3</v>
      </c>
      <c r="G159">
        <f ca="1">_xlfn.XLOOKUP(Orders[[#This Row],[Product ID]],Products[Product ID],Products[Selling Price])</f>
        <v>4000</v>
      </c>
      <c r="H159" s="6">
        <f t="shared" ca="1" si="7"/>
        <v>0.15</v>
      </c>
      <c r="I159">
        <f ca="1">Orders[[#This Row],[Quantity]]*Orders[[#This Row],[Unit Price]]*(1-Orders[[#This Row],[Discount%]])</f>
        <v>10200</v>
      </c>
      <c r="J159" t="str" cm="1">
        <f t="array" aca="1" ref="J159" ca="1">INDEX(PaymentMethods[Payment Method],RANDBETWEEN(1,5))</f>
        <v>Net Banking</v>
      </c>
    </row>
    <row r="160" spans="1:10" x14ac:dyDescent="0.3">
      <c r="A160" t="str">
        <f t="shared" si="8"/>
        <v>O0159</v>
      </c>
      <c r="B160" s="6">
        <f ca="1">Orders[[#This Row],[Discount%]]</f>
        <v>0</v>
      </c>
      <c r="C160" t="str" cm="1">
        <f t="array" aca="1" ref="C160" ca="1">INDEX(Customers[Customer ID],RANDBETWEEN(1,200))</f>
        <v>C195</v>
      </c>
      <c r="D160" t="str" cm="1">
        <f t="array" aca="1" ref="D160" ca="1">INDEX(Products[Product ID],RANDBETWEEN(1,50))</f>
        <v>P016</v>
      </c>
      <c r="E160" t="str" cm="1">
        <f t="array" aca="1" ref="E160" ca="1">INDEX(Warehouses[Warehouse ID],RANDBETWEEN(1,8))</f>
        <v>W004</v>
      </c>
      <c r="F160">
        <f t="shared" ca="1" si="6"/>
        <v>9</v>
      </c>
      <c r="G160">
        <f ca="1">_xlfn.XLOOKUP(Orders[[#This Row],[Product ID]],Products[Product ID],Products[Selling Price])</f>
        <v>2500</v>
      </c>
      <c r="H160" s="6">
        <f t="shared" ca="1" si="7"/>
        <v>0</v>
      </c>
      <c r="I160">
        <f ca="1">Orders[[#This Row],[Quantity]]*Orders[[#This Row],[Unit Price]]*(1-Orders[[#This Row],[Discount%]])</f>
        <v>22500</v>
      </c>
      <c r="J160" t="str" cm="1">
        <f t="array" aca="1" ref="J160" ca="1">INDEX(PaymentMethods[Payment Method],RANDBETWEEN(1,5))</f>
        <v>Cash</v>
      </c>
    </row>
    <row r="161" spans="1:10" x14ac:dyDescent="0.3">
      <c r="A161" t="str">
        <f t="shared" si="8"/>
        <v>O0160</v>
      </c>
      <c r="B161" s="6">
        <f ca="1">Orders[[#This Row],[Discount%]]</f>
        <v>0.03</v>
      </c>
      <c r="C161" t="str" cm="1">
        <f t="array" aca="1" ref="C161" ca="1">INDEX(Customers[Customer ID],RANDBETWEEN(1,200))</f>
        <v>C010</v>
      </c>
      <c r="D161" t="str" cm="1">
        <f t="array" aca="1" ref="D161" ca="1">INDEX(Products[Product ID],RANDBETWEEN(1,50))</f>
        <v>P037</v>
      </c>
      <c r="E161" t="str" cm="1">
        <f t="array" aca="1" ref="E161" ca="1">INDEX(Warehouses[Warehouse ID],RANDBETWEEN(1,8))</f>
        <v>W007</v>
      </c>
      <c r="F161">
        <f t="shared" ca="1" si="6"/>
        <v>7</v>
      </c>
      <c r="G161">
        <f ca="1">_xlfn.XLOOKUP(Orders[[#This Row],[Product ID]],Products[Product ID],Products[Selling Price])</f>
        <v>550</v>
      </c>
      <c r="H161" s="6">
        <f t="shared" ca="1" si="7"/>
        <v>0.03</v>
      </c>
      <c r="I161">
        <f ca="1">Orders[[#This Row],[Quantity]]*Orders[[#This Row],[Unit Price]]*(1-Orders[[#This Row],[Discount%]])</f>
        <v>3734.5</v>
      </c>
      <c r="J161" t="str" cm="1">
        <f t="array" aca="1" ref="J161" ca="1">INDEX(PaymentMethods[Payment Method],RANDBETWEEN(1,5))</f>
        <v>Cash</v>
      </c>
    </row>
    <row r="162" spans="1:10" x14ac:dyDescent="0.3">
      <c r="A162" t="str">
        <f t="shared" si="8"/>
        <v>O0161</v>
      </c>
      <c r="B162" s="6">
        <f ca="1">Orders[[#This Row],[Discount%]]</f>
        <v>0</v>
      </c>
      <c r="C162" t="str" cm="1">
        <f t="array" aca="1" ref="C162" ca="1">INDEX(Customers[Customer ID],RANDBETWEEN(1,200))</f>
        <v>C085</v>
      </c>
      <c r="D162" t="str" cm="1">
        <f t="array" aca="1" ref="D162" ca="1">INDEX(Products[Product ID],RANDBETWEEN(1,50))</f>
        <v>P029</v>
      </c>
      <c r="E162" t="str" cm="1">
        <f t="array" aca="1" ref="E162" ca="1">INDEX(Warehouses[Warehouse ID],RANDBETWEEN(1,8))</f>
        <v>W007</v>
      </c>
      <c r="F162">
        <f t="shared" ca="1" si="6"/>
        <v>8</v>
      </c>
      <c r="G162">
        <f ca="1">_xlfn.XLOOKUP(Orders[[#This Row],[Product ID]],Products[Product ID],Products[Selling Price])</f>
        <v>3200</v>
      </c>
      <c r="H162" s="6">
        <f t="shared" ca="1" si="7"/>
        <v>0</v>
      </c>
      <c r="I162">
        <f ca="1">Orders[[#This Row],[Quantity]]*Orders[[#This Row],[Unit Price]]*(1-Orders[[#This Row],[Discount%]])</f>
        <v>25600</v>
      </c>
      <c r="J162" t="str" cm="1">
        <f t="array" aca="1" ref="J162" ca="1">INDEX(PaymentMethods[Payment Method],RANDBETWEEN(1,5))</f>
        <v>Cash</v>
      </c>
    </row>
    <row r="163" spans="1:10" x14ac:dyDescent="0.3">
      <c r="A163" t="str">
        <f t="shared" si="8"/>
        <v>O0162</v>
      </c>
      <c r="B163" s="6">
        <f ca="1">Orders[[#This Row],[Discount%]]</f>
        <v>0.2</v>
      </c>
      <c r="C163" t="str" cm="1">
        <f t="array" aca="1" ref="C163" ca="1">INDEX(Customers[Customer ID],RANDBETWEEN(1,200))</f>
        <v>C083</v>
      </c>
      <c r="D163" t="str" cm="1">
        <f t="array" aca="1" ref="D163" ca="1">INDEX(Products[Product ID],RANDBETWEEN(1,50))</f>
        <v>P030</v>
      </c>
      <c r="E163" t="str" cm="1">
        <f t="array" aca="1" ref="E163" ca="1">INDEX(Warehouses[Warehouse ID],RANDBETWEEN(1,8))</f>
        <v>W008</v>
      </c>
      <c r="F163">
        <f t="shared" ca="1" si="6"/>
        <v>3</v>
      </c>
      <c r="G163">
        <f ca="1">_xlfn.XLOOKUP(Orders[[#This Row],[Product ID]],Products[Product ID],Products[Selling Price])</f>
        <v>4800</v>
      </c>
      <c r="H163" s="6">
        <f t="shared" ca="1" si="7"/>
        <v>0.2</v>
      </c>
      <c r="I163">
        <f ca="1">Orders[[#This Row],[Quantity]]*Orders[[#This Row],[Unit Price]]*(1-Orders[[#This Row],[Discount%]])</f>
        <v>11520</v>
      </c>
      <c r="J163" t="str" cm="1">
        <f t="array" aca="1" ref="J163" ca="1">INDEX(PaymentMethods[Payment Method],RANDBETWEEN(1,5))</f>
        <v>UPI</v>
      </c>
    </row>
    <row r="164" spans="1:10" x14ac:dyDescent="0.3">
      <c r="A164" t="str">
        <f t="shared" si="8"/>
        <v>O0163</v>
      </c>
      <c r="B164" s="6">
        <f ca="1">Orders[[#This Row],[Discount%]]</f>
        <v>0.1</v>
      </c>
      <c r="C164" t="str" cm="1">
        <f t="array" aca="1" ref="C164" ca="1">INDEX(Customers[Customer ID],RANDBETWEEN(1,200))</f>
        <v>C061</v>
      </c>
      <c r="D164" t="str" cm="1">
        <f t="array" aca="1" ref="D164" ca="1">INDEX(Products[Product ID],RANDBETWEEN(1,50))</f>
        <v>P025</v>
      </c>
      <c r="E164" t="str" cm="1">
        <f t="array" aca="1" ref="E164" ca="1">INDEX(Warehouses[Warehouse ID],RANDBETWEEN(1,8))</f>
        <v>W005</v>
      </c>
      <c r="F164">
        <f t="shared" ca="1" si="6"/>
        <v>1</v>
      </c>
      <c r="G164">
        <f ca="1">_xlfn.XLOOKUP(Orders[[#This Row],[Product ID]],Products[Product ID],Products[Selling Price])</f>
        <v>1800</v>
      </c>
      <c r="H164" s="6">
        <f t="shared" ca="1" si="7"/>
        <v>0.1</v>
      </c>
      <c r="I164">
        <f ca="1">Orders[[#This Row],[Quantity]]*Orders[[#This Row],[Unit Price]]*(1-Orders[[#This Row],[Discount%]])</f>
        <v>1620</v>
      </c>
      <c r="J164" t="str" cm="1">
        <f t="array" aca="1" ref="J164" ca="1">INDEX(PaymentMethods[Payment Method],RANDBETWEEN(1,5))</f>
        <v>Credit Card</v>
      </c>
    </row>
    <row r="165" spans="1:10" x14ac:dyDescent="0.3">
      <c r="A165" t="str">
        <f t="shared" si="8"/>
        <v>O0164</v>
      </c>
      <c r="B165" s="6">
        <f ca="1">Orders[[#This Row],[Discount%]]</f>
        <v>0.2</v>
      </c>
      <c r="C165" t="str" cm="1">
        <f t="array" aca="1" ref="C165" ca="1">INDEX(Customers[Customer ID],RANDBETWEEN(1,200))</f>
        <v>C069</v>
      </c>
      <c r="D165" t="str" cm="1">
        <f t="array" aca="1" ref="D165" ca="1">INDEX(Products[Product ID],RANDBETWEEN(1,50))</f>
        <v>P012</v>
      </c>
      <c r="E165" t="str" cm="1">
        <f t="array" aca="1" ref="E165" ca="1">INDEX(Warehouses[Warehouse ID],RANDBETWEEN(1,8))</f>
        <v>W003</v>
      </c>
      <c r="F165">
        <f t="shared" ca="1" si="6"/>
        <v>3</v>
      </c>
      <c r="G165">
        <f ca="1">_xlfn.XLOOKUP(Orders[[#This Row],[Product ID]],Products[Product ID],Products[Selling Price])</f>
        <v>80</v>
      </c>
      <c r="H165" s="6">
        <f t="shared" ca="1" si="7"/>
        <v>0.2</v>
      </c>
      <c r="I165">
        <f ca="1">Orders[[#This Row],[Quantity]]*Orders[[#This Row],[Unit Price]]*(1-Orders[[#This Row],[Discount%]])</f>
        <v>192</v>
      </c>
      <c r="J165" t="str" cm="1">
        <f t="array" aca="1" ref="J165" ca="1">INDEX(PaymentMethods[Payment Method],RANDBETWEEN(1,5))</f>
        <v>UPI</v>
      </c>
    </row>
    <row r="166" spans="1:10" x14ac:dyDescent="0.3">
      <c r="A166" t="str">
        <f t="shared" si="8"/>
        <v>O0165</v>
      </c>
      <c r="B166" s="6">
        <f ca="1">Orders[[#This Row],[Discount%]]</f>
        <v>0.1</v>
      </c>
      <c r="C166" t="str" cm="1">
        <f t="array" aca="1" ref="C166" ca="1">INDEX(Customers[Customer ID],RANDBETWEEN(1,200))</f>
        <v>C180</v>
      </c>
      <c r="D166" t="str" cm="1">
        <f t="array" aca="1" ref="D166" ca="1">INDEX(Products[Product ID],RANDBETWEEN(1,50))</f>
        <v>P022</v>
      </c>
      <c r="E166" t="str" cm="1">
        <f t="array" aca="1" ref="E166" ca="1">INDEX(Warehouses[Warehouse ID],RANDBETWEEN(1,8))</f>
        <v>W007</v>
      </c>
      <c r="F166">
        <f t="shared" ca="1" si="6"/>
        <v>3</v>
      </c>
      <c r="G166">
        <f ca="1">_xlfn.XLOOKUP(Orders[[#This Row],[Product ID]],Products[Product ID],Products[Selling Price])</f>
        <v>5000</v>
      </c>
      <c r="H166" s="6">
        <f t="shared" ca="1" si="7"/>
        <v>0.1</v>
      </c>
      <c r="I166">
        <f ca="1">Orders[[#This Row],[Quantity]]*Orders[[#This Row],[Unit Price]]*(1-Orders[[#This Row],[Discount%]])</f>
        <v>13500</v>
      </c>
      <c r="J166" t="str" cm="1">
        <f t="array" aca="1" ref="J166" ca="1">INDEX(PaymentMethods[Payment Method],RANDBETWEEN(1,5))</f>
        <v>Debit Card</v>
      </c>
    </row>
    <row r="167" spans="1:10" x14ac:dyDescent="0.3">
      <c r="A167" t="str">
        <f t="shared" si="8"/>
        <v>O0166</v>
      </c>
      <c r="B167" s="6">
        <f ca="1">Orders[[#This Row],[Discount%]]</f>
        <v>0.01</v>
      </c>
      <c r="C167" t="str" cm="1">
        <f t="array" aca="1" ref="C167" ca="1">INDEX(Customers[Customer ID],RANDBETWEEN(1,200))</f>
        <v>C005</v>
      </c>
      <c r="D167" t="str" cm="1">
        <f t="array" aca="1" ref="D167" ca="1">INDEX(Products[Product ID],RANDBETWEEN(1,50))</f>
        <v>P030</v>
      </c>
      <c r="E167" t="str" cm="1">
        <f t="array" aca="1" ref="E167" ca="1">INDEX(Warehouses[Warehouse ID],RANDBETWEEN(1,8))</f>
        <v>W002</v>
      </c>
      <c r="F167">
        <f t="shared" ca="1" si="6"/>
        <v>4</v>
      </c>
      <c r="G167">
        <f ca="1">_xlfn.XLOOKUP(Orders[[#This Row],[Product ID]],Products[Product ID],Products[Selling Price])</f>
        <v>4800</v>
      </c>
      <c r="H167" s="6">
        <f t="shared" ca="1" si="7"/>
        <v>0.01</v>
      </c>
      <c r="I167">
        <f ca="1">Orders[[#This Row],[Quantity]]*Orders[[#This Row],[Unit Price]]*(1-Orders[[#This Row],[Discount%]])</f>
        <v>19008</v>
      </c>
      <c r="J167" t="str" cm="1">
        <f t="array" aca="1" ref="J167" ca="1">INDEX(PaymentMethods[Payment Method],RANDBETWEEN(1,5))</f>
        <v>Cash</v>
      </c>
    </row>
    <row r="168" spans="1:10" x14ac:dyDescent="0.3">
      <c r="A168" t="str">
        <f t="shared" si="8"/>
        <v>O0167</v>
      </c>
      <c r="B168" s="6">
        <f ca="1">Orders[[#This Row],[Discount%]]</f>
        <v>0.04</v>
      </c>
      <c r="C168" t="str" cm="1">
        <f t="array" aca="1" ref="C168" ca="1">INDEX(Customers[Customer ID],RANDBETWEEN(1,200))</f>
        <v>C120</v>
      </c>
      <c r="D168" t="str" cm="1">
        <f t="array" aca="1" ref="D168" ca="1">INDEX(Products[Product ID],RANDBETWEEN(1,50))</f>
        <v>P016</v>
      </c>
      <c r="E168" t="str" cm="1">
        <f t="array" aca="1" ref="E168" ca="1">INDEX(Warehouses[Warehouse ID],RANDBETWEEN(1,8))</f>
        <v>W008</v>
      </c>
      <c r="F168">
        <f t="shared" ca="1" si="6"/>
        <v>2</v>
      </c>
      <c r="G168">
        <f ca="1">_xlfn.XLOOKUP(Orders[[#This Row],[Product ID]],Products[Product ID],Products[Selling Price])</f>
        <v>2500</v>
      </c>
      <c r="H168" s="6">
        <f t="shared" ca="1" si="7"/>
        <v>0.04</v>
      </c>
      <c r="I168">
        <f ca="1">Orders[[#This Row],[Quantity]]*Orders[[#This Row],[Unit Price]]*(1-Orders[[#This Row],[Discount%]])</f>
        <v>4800</v>
      </c>
      <c r="J168" t="str" cm="1">
        <f t="array" aca="1" ref="J168" ca="1">INDEX(PaymentMethods[Payment Method],RANDBETWEEN(1,5))</f>
        <v>Credit Card</v>
      </c>
    </row>
    <row r="169" spans="1:10" x14ac:dyDescent="0.3">
      <c r="A169" t="str">
        <f t="shared" si="8"/>
        <v>O0168</v>
      </c>
      <c r="B169" s="6">
        <f ca="1">Orders[[#This Row],[Discount%]]</f>
        <v>0.18</v>
      </c>
      <c r="C169" t="str" cm="1">
        <f t="array" aca="1" ref="C169" ca="1">INDEX(Customers[Customer ID],RANDBETWEEN(1,200))</f>
        <v>C170</v>
      </c>
      <c r="D169" t="str" cm="1">
        <f t="array" aca="1" ref="D169" ca="1">INDEX(Products[Product ID],RANDBETWEEN(1,50))</f>
        <v>P034</v>
      </c>
      <c r="E169" t="str" cm="1">
        <f t="array" aca="1" ref="E169" ca="1">INDEX(Warehouses[Warehouse ID],RANDBETWEEN(1,8))</f>
        <v>W002</v>
      </c>
      <c r="F169">
        <f t="shared" ca="1" si="6"/>
        <v>1</v>
      </c>
      <c r="G169">
        <f ca="1">_xlfn.XLOOKUP(Orders[[#This Row],[Product ID]],Products[Product ID],Products[Selling Price])</f>
        <v>120</v>
      </c>
      <c r="H169" s="6">
        <f t="shared" ca="1" si="7"/>
        <v>0.18</v>
      </c>
      <c r="I169">
        <f ca="1">Orders[[#This Row],[Quantity]]*Orders[[#This Row],[Unit Price]]*(1-Orders[[#This Row],[Discount%]])</f>
        <v>98.4</v>
      </c>
      <c r="J169" t="str" cm="1">
        <f t="array" aca="1" ref="J169" ca="1">INDEX(PaymentMethods[Payment Method],RANDBETWEEN(1,5))</f>
        <v>Debit Card</v>
      </c>
    </row>
    <row r="170" spans="1:10" x14ac:dyDescent="0.3">
      <c r="A170" t="str">
        <f t="shared" si="8"/>
        <v>O0169</v>
      </c>
      <c r="B170" s="6">
        <f ca="1">Orders[[#This Row],[Discount%]]</f>
        <v>0.03</v>
      </c>
      <c r="C170" t="str" cm="1">
        <f t="array" aca="1" ref="C170" ca="1">INDEX(Customers[Customer ID],RANDBETWEEN(1,200))</f>
        <v>C033</v>
      </c>
      <c r="D170" t="str" cm="1">
        <f t="array" aca="1" ref="D170" ca="1">INDEX(Products[Product ID],RANDBETWEEN(1,50))</f>
        <v>P013</v>
      </c>
      <c r="E170" t="str" cm="1">
        <f t="array" aca="1" ref="E170" ca="1">INDEX(Warehouses[Warehouse ID],RANDBETWEEN(1,8))</f>
        <v>W005</v>
      </c>
      <c r="F170">
        <f t="shared" ca="1" si="6"/>
        <v>2</v>
      </c>
      <c r="G170">
        <f ca="1">_xlfn.XLOOKUP(Orders[[#This Row],[Product ID]],Products[Product ID],Products[Selling Price])</f>
        <v>25</v>
      </c>
      <c r="H170" s="6">
        <f t="shared" ca="1" si="7"/>
        <v>0.03</v>
      </c>
      <c r="I170">
        <f ca="1">Orders[[#This Row],[Quantity]]*Orders[[#This Row],[Unit Price]]*(1-Orders[[#This Row],[Discount%]])</f>
        <v>48.5</v>
      </c>
      <c r="J170" t="str" cm="1">
        <f t="array" aca="1" ref="J170" ca="1">INDEX(PaymentMethods[Payment Method],RANDBETWEEN(1,5))</f>
        <v>Debit Card</v>
      </c>
    </row>
    <row r="171" spans="1:10" x14ac:dyDescent="0.3">
      <c r="A171" t="str">
        <f t="shared" si="8"/>
        <v>O0170</v>
      </c>
      <c r="B171" s="6">
        <f ca="1">Orders[[#This Row],[Discount%]]</f>
        <v>0.14000000000000001</v>
      </c>
      <c r="C171" t="str" cm="1">
        <f t="array" aca="1" ref="C171" ca="1">INDEX(Customers[Customer ID],RANDBETWEEN(1,200))</f>
        <v>C115</v>
      </c>
      <c r="D171" t="str" cm="1">
        <f t="array" aca="1" ref="D171" ca="1">INDEX(Products[Product ID],RANDBETWEEN(1,50))</f>
        <v>P036</v>
      </c>
      <c r="E171" t="str" cm="1">
        <f t="array" aca="1" ref="E171" ca="1">INDEX(Warehouses[Warehouse ID],RANDBETWEEN(1,8))</f>
        <v>W001</v>
      </c>
      <c r="F171">
        <f t="shared" ca="1" si="6"/>
        <v>4</v>
      </c>
      <c r="G171">
        <f ca="1">_xlfn.XLOOKUP(Orders[[#This Row],[Product ID]],Products[Product ID],Products[Selling Price])</f>
        <v>450</v>
      </c>
      <c r="H171" s="6">
        <f t="shared" ca="1" si="7"/>
        <v>0.14000000000000001</v>
      </c>
      <c r="I171">
        <f ca="1">Orders[[#This Row],[Quantity]]*Orders[[#This Row],[Unit Price]]*(1-Orders[[#This Row],[Discount%]])</f>
        <v>1548</v>
      </c>
      <c r="J171" t="str" cm="1">
        <f t="array" aca="1" ref="J171" ca="1">INDEX(PaymentMethods[Payment Method],RANDBETWEEN(1,5))</f>
        <v>Credit Card</v>
      </c>
    </row>
    <row r="172" spans="1:10" x14ac:dyDescent="0.3">
      <c r="A172" t="str">
        <f t="shared" si="8"/>
        <v>O0171</v>
      </c>
      <c r="B172" s="6">
        <f ca="1">Orders[[#This Row],[Discount%]]</f>
        <v>0.1</v>
      </c>
      <c r="C172" t="str" cm="1">
        <f t="array" aca="1" ref="C172" ca="1">INDEX(Customers[Customer ID],RANDBETWEEN(1,200))</f>
        <v>C143</v>
      </c>
      <c r="D172" t="str" cm="1">
        <f t="array" aca="1" ref="D172" ca="1">INDEX(Products[Product ID],RANDBETWEEN(1,50))</f>
        <v>P040</v>
      </c>
      <c r="E172" t="str" cm="1">
        <f t="array" aca="1" ref="E172" ca="1">INDEX(Warehouses[Warehouse ID],RANDBETWEEN(1,8))</f>
        <v>W006</v>
      </c>
      <c r="F172">
        <f t="shared" ca="1" si="6"/>
        <v>9</v>
      </c>
      <c r="G172">
        <f ca="1">_xlfn.XLOOKUP(Orders[[#This Row],[Product ID]],Products[Product ID],Products[Selling Price])</f>
        <v>180</v>
      </c>
      <c r="H172" s="6">
        <f t="shared" ca="1" si="7"/>
        <v>0.1</v>
      </c>
      <c r="I172">
        <f ca="1">Orders[[#This Row],[Quantity]]*Orders[[#This Row],[Unit Price]]*(1-Orders[[#This Row],[Discount%]])</f>
        <v>1458</v>
      </c>
      <c r="J172" t="str" cm="1">
        <f t="array" aca="1" ref="J172" ca="1">INDEX(PaymentMethods[Payment Method],RANDBETWEEN(1,5))</f>
        <v>Cash</v>
      </c>
    </row>
    <row r="173" spans="1:10" x14ac:dyDescent="0.3">
      <c r="A173" t="str">
        <f t="shared" si="8"/>
        <v>O0172</v>
      </c>
      <c r="B173" s="6">
        <f ca="1">Orders[[#This Row],[Discount%]]</f>
        <v>0.06</v>
      </c>
      <c r="C173" t="str" cm="1">
        <f t="array" aca="1" ref="C173" ca="1">INDEX(Customers[Customer ID],RANDBETWEEN(1,200))</f>
        <v>C048</v>
      </c>
      <c r="D173" t="str" cm="1">
        <f t="array" aca="1" ref="D173" ca="1">INDEX(Products[Product ID],RANDBETWEEN(1,50))</f>
        <v>P034</v>
      </c>
      <c r="E173" t="str" cm="1">
        <f t="array" aca="1" ref="E173" ca="1">INDEX(Warehouses[Warehouse ID],RANDBETWEEN(1,8))</f>
        <v>W006</v>
      </c>
      <c r="F173">
        <f t="shared" ca="1" si="6"/>
        <v>3</v>
      </c>
      <c r="G173">
        <f ca="1">_xlfn.XLOOKUP(Orders[[#This Row],[Product ID]],Products[Product ID],Products[Selling Price])</f>
        <v>120</v>
      </c>
      <c r="H173" s="6">
        <f t="shared" ca="1" si="7"/>
        <v>0.06</v>
      </c>
      <c r="I173">
        <f ca="1">Orders[[#This Row],[Quantity]]*Orders[[#This Row],[Unit Price]]*(1-Orders[[#This Row],[Discount%]])</f>
        <v>338.4</v>
      </c>
      <c r="J173" t="str" cm="1">
        <f t="array" aca="1" ref="J173" ca="1">INDEX(PaymentMethods[Payment Method],RANDBETWEEN(1,5))</f>
        <v>Net Banking</v>
      </c>
    </row>
    <row r="174" spans="1:10" x14ac:dyDescent="0.3">
      <c r="A174" t="str">
        <f t="shared" si="8"/>
        <v>O0173</v>
      </c>
      <c r="B174" s="6">
        <f ca="1">Orders[[#This Row],[Discount%]]</f>
        <v>0.13</v>
      </c>
      <c r="C174" t="str" cm="1">
        <f t="array" aca="1" ref="C174" ca="1">INDEX(Customers[Customer ID],RANDBETWEEN(1,200))</f>
        <v>C151</v>
      </c>
      <c r="D174" t="str" cm="1">
        <f t="array" aca="1" ref="D174" ca="1">INDEX(Products[Product ID],RANDBETWEEN(1,50))</f>
        <v>P035</v>
      </c>
      <c r="E174" t="str" cm="1">
        <f t="array" aca="1" ref="E174" ca="1">INDEX(Warehouses[Warehouse ID],RANDBETWEEN(1,8))</f>
        <v>W007</v>
      </c>
      <c r="F174">
        <f t="shared" ca="1" si="6"/>
        <v>10</v>
      </c>
      <c r="G174">
        <f ca="1">_xlfn.XLOOKUP(Orders[[#This Row],[Product ID]],Products[Product ID],Products[Selling Price])</f>
        <v>300</v>
      </c>
      <c r="H174" s="6">
        <f t="shared" ca="1" si="7"/>
        <v>0.13</v>
      </c>
      <c r="I174">
        <f ca="1">Orders[[#This Row],[Quantity]]*Orders[[#This Row],[Unit Price]]*(1-Orders[[#This Row],[Discount%]])</f>
        <v>2610</v>
      </c>
      <c r="J174" t="str" cm="1">
        <f t="array" aca="1" ref="J174" ca="1">INDEX(PaymentMethods[Payment Method],RANDBETWEEN(1,5))</f>
        <v>UPI</v>
      </c>
    </row>
    <row r="175" spans="1:10" x14ac:dyDescent="0.3">
      <c r="A175" t="str">
        <f t="shared" si="8"/>
        <v>O0174</v>
      </c>
      <c r="B175" s="6">
        <f ca="1">Orders[[#This Row],[Discount%]]</f>
        <v>0.09</v>
      </c>
      <c r="C175" t="str" cm="1">
        <f t="array" aca="1" ref="C175" ca="1">INDEX(Customers[Customer ID],RANDBETWEEN(1,200))</f>
        <v>C089</v>
      </c>
      <c r="D175" t="str" cm="1">
        <f t="array" aca="1" ref="D175" ca="1">INDEX(Products[Product ID],RANDBETWEEN(1,50))</f>
        <v>P026</v>
      </c>
      <c r="E175" t="str" cm="1">
        <f t="array" aca="1" ref="E175" ca="1">INDEX(Warehouses[Warehouse ID],RANDBETWEEN(1,8))</f>
        <v>W005</v>
      </c>
      <c r="F175">
        <f t="shared" ca="1" si="6"/>
        <v>5</v>
      </c>
      <c r="G175">
        <f ca="1">_xlfn.XLOOKUP(Orders[[#This Row],[Product ID]],Products[Product ID],Products[Selling Price])</f>
        <v>650</v>
      </c>
      <c r="H175" s="6">
        <f t="shared" ca="1" si="7"/>
        <v>0.09</v>
      </c>
      <c r="I175">
        <f ca="1">Orders[[#This Row],[Quantity]]*Orders[[#This Row],[Unit Price]]*(1-Orders[[#This Row],[Discount%]])</f>
        <v>2957.5</v>
      </c>
      <c r="J175" t="str" cm="1">
        <f t="array" aca="1" ref="J175" ca="1">INDEX(PaymentMethods[Payment Method],RANDBETWEEN(1,5))</f>
        <v>Credit Card</v>
      </c>
    </row>
    <row r="176" spans="1:10" x14ac:dyDescent="0.3">
      <c r="A176" t="str">
        <f t="shared" si="8"/>
        <v>O0175</v>
      </c>
      <c r="B176" s="6">
        <f ca="1">Orders[[#This Row],[Discount%]]</f>
        <v>0.02</v>
      </c>
      <c r="C176" t="str" cm="1">
        <f t="array" aca="1" ref="C176" ca="1">INDEX(Customers[Customer ID],RANDBETWEEN(1,200))</f>
        <v>C034</v>
      </c>
      <c r="D176" t="str" cm="1">
        <f t="array" aca="1" ref="D176" ca="1">INDEX(Products[Product ID],RANDBETWEEN(1,50))</f>
        <v>P050</v>
      </c>
      <c r="E176" t="str" cm="1">
        <f t="array" aca="1" ref="E176" ca="1">INDEX(Warehouses[Warehouse ID],RANDBETWEEN(1,8))</f>
        <v>W002</v>
      </c>
      <c r="F176">
        <f t="shared" ca="1" si="6"/>
        <v>5</v>
      </c>
      <c r="G176">
        <f ca="1">_xlfn.XLOOKUP(Orders[[#This Row],[Product ID]],Products[Product ID],Products[Selling Price])</f>
        <v>12000</v>
      </c>
      <c r="H176" s="6">
        <f t="shared" ca="1" si="7"/>
        <v>0.02</v>
      </c>
      <c r="I176">
        <f ca="1">Orders[[#This Row],[Quantity]]*Orders[[#This Row],[Unit Price]]*(1-Orders[[#This Row],[Discount%]])</f>
        <v>58800</v>
      </c>
      <c r="J176" t="str" cm="1">
        <f t="array" aca="1" ref="J176" ca="1">INDEX(PaymentMethods[Payment Method],RANDBETWEEN(1,5))</f>
        <v>UPI</v>
      </c>
    </row>
    <row r="177" spans="1:10" x14ac:dyDescent="0.3">
      <c r="A177" t="str">
        <f t="shared" si="8"/>
        <v>O0176</v>
      </c>
      <c r="B177" s="6">
        <f ca="1">Orders[[#This Row],[Discount%]]</f>
        <v>0.1</v>
      </c>
      <c r="C177" t="str" cm="1">
        <f t="array" aca="1" ref="C177" ca="1">INDEX(Customers[Customer ID],RANDBETWEEN(1,200))</f>
        <v>C107</v>
      </c>
      <c r="D177" t="str" cm="1">
        <f t="array" aca="1" ref="D177" ca="1">INDEX(Products[Product ID],RANDBETWEEN(1,50))</f>
        <v>P009</v>
      </c>
      <c r="E177" t="str" cm="1">
        <f t="array" aca="1" ref="E177" ca="1">INDEX(Warehouses[Warehouse ID],RANDBETWEEN(1,8))</f>
        <v>W006</v>
      </c>
      <c r="F177">
        <f t="shared" ca="1" si="6"/>
        <v>8</v>
      </c>
      <c r="G177">
        <f ca="1">_xlfn.XLOOKUP(Orders[[#This Row],[Product ID]],Products[Product ID],Products[Selling Price])</f>
        <v>20000</v>
      </c>
      <c r="H177" s="6">
        <f t="shared" ca="1" si="7"/>
        <v>0.1</v>
      </c>
      <c r="I177">
        <f ca="1">Orders[[#This Row],[Quantity]]*Orders[[#This Row],[Unit Price]]*(1-Orders[[#This Row],[Discount%]])</f>
        <v>144000</v>
      </c>
      <c r="J177" t="str" cm="1">
        <f t="array" aca="1" ref="J177" ca="1">INDEX(PaymentMethods[Payment Method],RANDBETWEEN(1,5))</f>
        <v>UPI</v>
      </c>
    </row>
    <row r="178" spans="1:10" x14ac:dyDescent="0.3">
      <c r="A178" t="str">
        <f t="shared" si="8"/>
        <v>O0177</v>
      </c>
      <c r="B178" s="6">
        <f ca="1">Orders[[#This Row],[Discount%]]</f>
        <v>0.11</v>
      </c>
      <c r="C178" t="str" cm="1">
        <f t="array" aca="1" ref="C178" ca="1">INDEX(Customers[Customer ID],RANDBETWEEN(1,200))</f>
        <v>C117</v>
      </c>
      <c r="D178" t="str" cm="1">
        <f t="array" aca="1" ref="D178" ca="1">INDEX(Products[Product ID],RANDBETWEEN(1,50))</f>
        <v>P042</v>
      </c>
      <c r="E178" t="str" cm="1">
        <f t="array" aca="1" ref="E178" ca="1">INDEX(Warehouses[Warehouse ID],RANDBETWEEN(1,8))</f>
        <v>W003</v>
      </c>
      <c r="F178">
        <f t="shared" ca="1" si="6"/>
        <v>5</v>
      </c>
      <c r="G178">
        <f ca="1">_xlfn.XLOOKUP(Orders[[#This Row],[Product ID]],Products[Product ID],Products[Selling Price])</f>
        <v>29000</v>
      </c>
      <c r="H178" s="6">
        <f t="shared" ca="1" si="7"/>
        <v>0.11</v>
      </c>
      <c r="I178">
        <f ca="1">Orders[[#This Row],[Quantity]]*Orders[[#This Row],[Unit Price]]*(1-Orders[[#This Row],[Discount%]])</f>
        <v>129050</v>
      </c>
      <c r="J178" t="str" cm="1">
        <f t="array" aca="1" ref="J178" ca="1">INDEX(PaymentMethods[Payment Method],RANDBETWEEN(1,5))</f>
        <v>UPI</v>
      </c>
    </row>
    <row r="179" spans="1:10" x14ac:dyDescent="0.3">
      <c r="A179" t="str">
        <f t="shared" si="8"/>
        <v>O0178</v>
      </c>
      <c r="B179" s="6">
        <f ca="1">Orders[[#This Row],[Discount%]]</f>
        <v>0.02</v>
      </c>
      <c r="C179" t="str" cm="1">
        <f t="array" aca="1" ref="C179" ca="1">INDEX(Customers[Customer ID],RANDBETWEEN(1,200))</f>
        <v>C005</v>
      </c>
      <c r="D179" t="str" cm="1">
        <f t="array" aca="1" ref="D179" ca="1">INDEX(Products[Product ID],RANDBETWEEN(1,50))</f>
        <v>P001</v>
      </c>
      <c r="E179" t="str" cm="1">
        <f t="array" aca="1" ref="E179" ca="1">INDEX(Warehouses[Warehouse ID],RANDBETWEEN(1,8))</f>
        <v>W006</v>
      </c>
      <c r="F179">
        <f t="shared" ca="1" si="6"/>
        <v>10</v>
      </c>
      <c r="G179">
        <f ca="1">_xlfn.XLOOKUP(Orders[[#This Row],[Product ID]],Products[Product ID],Products[Selling Price])</f>
        <v>42000</v>
      </c>
      <c r="H179" s="6">
        <f t="shared" ca="1" si="7"/>
        <v>0.02</v>
      </c>
      <c r="I179">
        <f ca="1">Orders[[#This Row],[Quantity]]*Orders[[#This Row],[Unit Price]]*(1-Orders[[#This Row],[Discount%]])</f>
        <v>411600</v>
      </c>
      <c r="J179" t="str" cm="1">
        <f t="array" aca="1" ref="J179" ca="1">INDEX(PaymentMethods[Payment Method],RANDBETWEEN(1,5))</f>
        <v>Cash</v>
      </c>
    </row>
    <row r="180" spans="1:10" x14ac:dyDescent="0.3">
      <c r="A180" t="str">
        <f t="shared" si="8"/>
        <v>O0179</v>
      </c>
      <c r="B180" s="6">
        <f ca="1">Orders[[#This Row],[Discount%]]</f>
        <v>0.2</v>
      </c>
      <c r="C180" t="str" cm="1">
        <f t="array" aca="1" ref="C180" ca="1">INDEX(Customers[Customer ID],RANDBETWEEN(1,200))</f>
        <v>C101</v>
      </c>
      <c r="D180" t="str" cm="1">
        <f t="array" aca="1" ref="D180" ca="1">INDEX(Products[Product ID],RANDBETWEEN(1,50))</f>
        <v>P044</v>
      </c>
      <c r="E180" t="str" cm="1">
        <f t="array" aca="1" ref="E180" ca="1">INDEX(Warehouses[Warehouse ID],RANDBETWEEN(1,8))</f>
        <v>W008</v>
      </c>
      <c r="F180">
        <f t="shared" ca="1" si="6"/>
        <v>3</v>
      </c>
      <c r="G180">
        <f ca="1">_xlfn.XLOOKUP(Orders[[#This Row],[Product ID]],Products[Product ID],Products[Selling Price])</f>
        <v>8500</v>
      </c>
      <c r="H180" s="6">
        <f t="shared" ca="1" si="7"/>
        <v>0.2</v>
      </c>
      <c r="I180">
        <f ca="1">Orders[[#This Row],[Quantity]]*Orders[[#This Row],[Unit Price]]*(1-Orders[[#This Row],[Discount%]])</f>
        <v>20400</v>
      </c>
      <c r="J180" t="str" cm="1">
        <f t="array" aca="1" ref="J180" ca="1">INDEX(PaymentMethods[Payment Method],RANDBETWEEN(1,5))</f>
        <v>UPI</v>
      </c>
    </row>
    <row r="181" spans="1:10" x14ac:dyDescent="0.3">
      <c r="A181" t="str">
        <f t="shared" si="8"/>
        <v>O0180</v>
      </c>
      <c r="B181" s="6">
        <f ca="1">Orders[[#This Row],[Discount%]]</f>
        <v>0.04</v>
      </c>
      <c r="C181" t="str" cm="1">
        <f t="array" aca="1" ref="C181" ca="1">INDEX(Customers[Customer ID],RANDBETWEEN(1,200))</f>
        <v>C086</v>
      </c>
      <c r="D181" t="str" cm="1">
        <f t="array" aca="1" ref="D181" ca="1">INDEX(Products[Product ID],RANDBETWEEN(1,50))</f>
        <v>P026</v>
      </c>
      <c r="E181" t="str" cm="1">
        <f t="array" aca="1" ref="E181" ca="1">INDEX(Warehouses[Warehouse ID],RANDBETWEEN(1,8))</f>
        <v>W007</v>
      </c>
      <c r="F181">
        <f t="shared" ca="1" si="6"/>
        <v>4</v>
      </c>
      <c r="G181">
        <f ca="1">_xlfn.XLOOKUP(Orders[[#This Row],[Product ID]],Products[Product ID],Products[Selling Price])</f>
        <v>650</v>
      </c>
      <c r="H181" s="6">
        <f t="shared" ca="1" si="7"/>
        <v>0.04</v>
      </c>
      <c r="I181">
        <f ca="1">Orders[[#This Row],[Quantity]]*Orders[[#This Row],[Unit Price]]*(1-Orders[[#This Row],[Discount%]])</f>
        <v>2496</v>
      </c>
      <c r="J181" t="str" cm="1">
        <f t="array" aca="1" ref="J181" ca="1">INDEX(PaymentMethods[Payment Method],RANDBETWEEN(1,5))</f>
        <v>Debit Card</v>
      </c>
    </row>
    <row r="182" spans="1:10" x14ac:dyDescent="0.3">
      <c r="A182" t="str">
        <f t="shared" si="8"/>
        <v>O0181</v>
      </c>
      <c r="B182" s="6">
        <f ca="1">Orders[[#This Row],[Discount%]]</f>
        <v>0.01</v>
      </c>
      <c r="C182" t="str" cm="1">
        <f t="array" aca="1" ref="C182" ca="1">INDEX(Customers[Customer ID],RANDBETWEEN(1,200))</f>
        <v>C071</v>
      </c>
      <c r="D182" t="str" cm="1">
        <f t="array" aca="1" ref="D182" ca="1">INDEX(Products[Product ID],RANDBETWEEN(1,50))</f>
        <v>P015</v>
      </c>
      <c r="E182" t="str" cm="1">
        <f t="array" aca="1" ref="E182" ca="1">INDEX(Warehouses[Warehouse ID],RANDBETWEEN(1,8))</f>
        <v>W003</v>
      </c>
      <c r="F182">
        <f t="shared" ca="1" si="6"/>
        <v>9</v>
      </c>
      <c r="G182">
        <f ca="1">_xlfn.XLOOKUP(Orders[[#This Row],[Product ID]],Products[Product ID],Products[Selling Price])</f>
        <v>1800</v>
      </c>
      <c r="H182" s="6">
        <f t="shared" ca="1" si="7"/>
        <v>0.01</v>
      </c>
      <c r="I182">
        <f ca="1">Orders[[#This Row],[Quantity]]*Orders[[#This Row],[Unit Price]]*(1-Orders[[#This Row],[Discount%]])</f>
        <v>16038</v>
      </c>
      <c r="J182" t="str" cm="1">
        <f t="array" aca="1" ref="J182" ca="1">INDEX(PaymentMethods[Payment Method],RANDBETWEEN(1,5))</f>
        <v>Net Banking</v>
      </c>
    </row>
    <row r="183" spans="1:10" x14ac:dyDescent="0.3">
      <c r="A183" t="str">
        <f t="shared" si="8"/>
        <v>O0182</v>
      </c>
      <c r="B183" s="6">
        <f ca="1">Orders[[#This Row],[Discount%]]</f>
        <v>0.17</v>
      </c>
      <c r="C183" t="str" cm="1">
        <f t="array" aca="1" ref="C183" ca="1">INDEX(Customers[Customer ID],RANDBETWEEN(1,200))</f>
        <v>C037</v>
      </c>
      <c r="D183" t="str" cm="1">
        <f t="array" aca="1" ref="D183" ca="1">INDEX(Products[Product ID],RANDBETWEEN(1,50))</f>
        <v>P038</v>
      </c>
      <c r="E183" t="str" cm="1">
        <f t="array" aca="1" ref="E183" ca="1">INDEX(Warehouses[Warehouse ID],RANDBETWEEN(1,8))</f>
        <v>W003</v>
      </c>
      <c r="F183">
        <f t="shared" ca="1" si="6"/>
        <v>4</v>
      </c>
      <c r="G183">
        <f ca="1">_xlfn.XLOOKUP(Orders[[#This Row],[Product ID]],Products[Product ID],Products[Selling Price])</f>
        <v>1500</v>
      </c>
      <c r="H183" s="6">
        <f t="shared" ca="1" si="7"/>
        <v>0.17</v>
      </c>
      <c r="I183">
        <f ca="1">Orders[[#This Row],[Quantity]]*Orders[[#This Row],[Unit Price]]*(1-Orders[[#This Row],[Discount%]])</f>
        <v>4980</v>
      </c>
      <c r="J183" t="str" cm="1">
        <f t="array" aca="1" ref="J183" ca="1">INDEX(PaymentMethods[Payment Method],RANDBETWEEN(1,5))</f>
        <v>Net Banking</v>
      </c>
    </row>
    <row r="184" spans="1:10" x14ac:dyDescent="0.3">
      <c r="A184" t="str">
        <f t="shared" si="8"/>
        <v>O0183</v>
      </c>
      <c r="B184" s="6">
        <f ca="1">Orders[[#This Row],[Discount%]]</f>
        <v>0.06</v>
      </c>
      <c r="C184" t="str" cm="1">
        <f t="array" aca="1" ref="C184" ca="1">INDEX(Customers[Customer ID],RANDBETWEEN(1,200))</f>
        <v>C033</v>
      </c>
      <c r="D184" t="str" cm="1">
        <f t="array" aca="1" ref="D184" ca="1">INDEX(Products[Product ID],RANDBETWEEN(1,50))</f>
        <v>P011</v>
      </c>
      <c r="E184" t="str" cm="1">
        <f t="array" aca="1" ref="E184" ca="1">INDEX(Warehouses[Warehouse ID],RANDBETWEEN(1,8))</f>
        <v>W006</v>
      </c>
      <c r="F184">
        <f t="shared" ca="1" si="6"/>
        <v>9</v>
      </c>
      <c r="G184">
        <f ca="1">_xlfn.XLOOKUP(Orders[[#This Row],[Product ID]],Products[Product ID],Products[Selling Price])</f>
        <v>1200</v>
      </c>
      <c r="H184" s="6">
        <f t="shared" ca="1" si="7"/>
        <v>0.06</v>
      </c>
      <c r="I184">
        <f ca="1">Orders[[#This Row],[Quantity]]*Orders[[#This Row],[Unit Price]]*(1-Orders[[#This Row],[Discount%]])</f>
        <v>10152</v>
      </c>
      <c r="J184" t="str" cm="1">
        <f t="array" aca="1" ref="J184" ca="1">INDEX(PaymentMethods[Payment Method],RANDBETWEEN(1,5))</f>
        <v>Net Banking</v>
      </c>
    </row>
    <row r="185" spans="1:10" x14ac:dyDescent="0.3">
      <c r="A185" t="str">
        <f t="shared" si="8"/>
        <v>O0184</v>
      </c>
      <c r="B185" s="6">
        <f ca="1">Orders[[#This Row],[Discount%]]</f>
        <v>0.17</v>
      </c>
      <c r="C185" t="str" cm="1">
        <f t="array" aca="1" ref="C185" ca="1">INDEX(Customers[Customer ID],RANDBETWEEN(1,200))</f>
        <v>C083</v>
      </c>
      <c r="D185" t="str" cm="1">
        <f t="array" aca="1" ref="D185" ca="1">INDEX(Products[Product ID],RANDBETWEEN(1,50))</f>
        <v>P031</v>
      </c>
      <c r="E185" t="str" cm="1">
        <f t="array" aca="1" ref="E185" ca="1">INDEX(Warehouses[Warehouse ID],RANDBETWEEN(1,8))</f>
        <v>W001</v>
      </c>
      <c r="F185">
        <f t="shared" ca="1" si="6"/>
        <v>4</v>
      </c>
      <c r="G185">
        <f ca="1">_xlfn.XLOOKUP(Orders[[#This Row],[Product ID]],Products[Product ID],Products[Selling Price])</f>
        <v>90</v>
      </c>
      <c r="H185" s="6">
        <f t="shared" ca="1" si="7"/>
        <v>0.17</v>
      </c>
      <c r="I185">
        <f ca="1">Orders[[#This Row],[Quantity]]*Orders[[#This Row],[Unit Price]]*(1-Orders[[#This Row],[Discount%]])</f>
        <v>298.8</v>
      </c>
      <c r="J185" t="str" cm="1">
        <f t="array" aca="1" ref="J185" ca="1">INDEX(PaymentMethods[Payment Method],RANDBETWEEN(1,5))</f>
        <v>Net Banking</v>
      </c>
    </row>
    <row r="186" spans="1:10" x14ac:dyDescent="0.3">
      <c r="A186" t="str">
        <f t="shared" si="8"/>
        <v>O0185</v>
      </c>
      <c r="B186" s="6">
        <f ca="1">Orders[[#This Row],[Discount%]]</f>
        <v>0.14000000000000001</v>
      </c>
      <c r="C186" t="str" cm="1">
        <f t="array" aca="1" ref="C186" ca="1">INDEX(Customers[Customer ID],RANDBETWEEN(1,200))</f>
        <v>C053</v>
      </c>
      <c r="D186" t="str" cm="1">
        <f t="array" aca="1" ref="D186" ca="1">INDEX(Products[Product ID],RANDBETWEEN(1,50))</f>
        <v>P032</v>
      </c>
      <c r="E186" t="str" cm="1">
        <f t="array" aca="1" ref="E186" ca="1">INDEX(Warehouses[Warehouse ID],RANDBETWEEN(1,8))</f>
        <v>W005</v>
      </c>
      <c r="F186">
        <f t="shared" ca="1" si="6"/>
        <v>2</v>
      </c>
      <c r="G186">
        <f ca="1">_xlfn.XLOOKUP(Orders[[#This Row],[Product ID]],Products[Product ID],Products[Selling Price])</f>
        <v>220</v>
      </c>
      <c r="H186" s="6">
        <f t="shared" ca="1" si="7"/>
        <v>0.14000000000000001</v>
      </c>
      <c r="I186">
        <f ca="1">Orders[[#This Row],[Quantity]]*Orders[[#This Row],[Unit Price]]*(1-Orders[[#This Row],[Discount%]])</f>
        <v>378.4</v>
      </c>
      <c r="J186" t="str" cm="1">
        <f t="array" aca="1" ref="J186" ca="1">INDEX(PaymentMethods[Payment Method],RANDBETWEEN(1,5))</f>
        <v>Cash</v>
      </c>
    </row>
    <row r="187" spans="1:10" x14ac:dyDescent="0.3">
      <c r="A187" t="str">
        <f t="shared" si="8"/>
        <v>O0186</v>
      </c>
      <c r="B187" s="6">
        <f ca="1">Orders[[#This Row],[Discount%]]</f>
        <v>0.03</v>
      </c>
      <c r="C187" t="str" cm="1">
        <f t="array" aca="1" ref="C187" ca="1">INDEX(Customers[Customer ID],RANDBETWEEN(1,200))</f>
        <v>C009</v>
      </c>
      <c r="D187" t="str" cm="1">
        <f t="array" aca="1" ref="D187" ca="1">INDEX(Products[Product ID],RANDBETWEEN(1,50))</f>
        <v>P019</v>
      </c>
      <c r="E187" t="str" cm="1">
        <f t="array" aca="1" ref="E187" ca="1">INDEX(Warehouses[Warehouse ID],RANDBETWEEN(1,8))</f>
        <v>W003</v>
      </c>
      <c r="F187">
        <f t="shared" ca="1" si="6"/>
        <v>4</v>
      </c>
      <c r="G187">
        <f ca="1">_xlfn.XLOOKUP(Orders[[#This Row],[Product ID]],Products[Product ID],Products[Selling Price])</f>
        <v>950</v>
      </c>
      <c r="H187" s="6">
        <f t="shared" ca="1" si="7"/>
        <v>0.03</v>
      </c>
      <c r="I187">
        <f ca="1">Orders[[#This Row],[Quantity]]*Orders[[#This Row],[Unit Price]]*(1-Orders[[#This Row],[Discount%]])</f>
        <v>3686</v>
      </c>
      <c r="J187" t="str" cm="1">
        <f t="array" aca="1" ref="J187" ca="1">INDEX(PaymentMethods[Payment Method],RANDBETWEEN(1,5))</f>
        <v>Cash</v>
      </c>
    </row>
    <row r="188" spans="1:10" x14ac:dyDescent="0.3">
      <c r="A188" t="str">
        <f t="shared" si="8"/>
        <v>O0187</v>
      </c>
      <c r="B188" s="6">
        <f ca="1">Orders[[#This Row],[Discount%]]</f>
        <v>0.08</v>
      </c>
      <c r="C188" t="str" cm="1">
        <f t="array" aca="1" ref="C188" ca="1">INDEX(Customers[Customer ID],RANDBETWEEN(1,200))</f>
        <v>C194</v>
      </c>
      <c r="D188" t="str" cm="1">
        <f t="array" aca="1" ref="D188" ca="1">INDEX(Products[Product ID],RANDBETWEEN(1,50))</f>
        <v>P026</v>
      </c>
      <c r="E188" t="str" cm="1">
        <f t="array" aca="1" ref="E188" ca="1">INDEX(Warehouses[Warehouse ID],RANDBETWEEN(1,8))</f>
        <v>W008</v>
      </c>
      <c r="F188">
        <f t="shared" ca="1" si="6"/>
        <v>5</v>
      </c>
      <c r="G188">
        <f ca="1">_xlfn.XLOOKUP(Orders[[#This Row],[Product ID]],Products[Product ID],Products[Selling Price])</f>
        <v>650</v>
      </c>
      <c r="H188" s="6">
        <f t="shared" ca="1" si="7"/>
        <v>0.08</v>
      </c>
      <c r="I188">
        <f ca="1">Orders[[#This Row],[Quantity]]*Orders[[#This Row],[Unit Price]]*(1-Orders[[#This Row],[Discount%]])</f>
        <v>2990</v>
      </c>
      <c r="J188" t="str" cm="1">
        <f t="array" aca="1" ref="J188" ca="1">INDEX(PaymentMethods[Payment Method],RANDBETWEEN(1,5))</f>
        <v>Cash</v>
      </c>
    </row>
    <row r="189" spans="1:10" x14ac:dyDescent="0.3">
      <c r="A189" t="str">
        <f t="shared" si="8"/>
        <v>O0188</v>
      </c>
      <c r="B189" s="6">
        <f ca="1">Orders[[#This Row],[Discount%]]</f>
        <v>0.14000000000000001</v>
      </c>
      <c r="C189" t="str" cm="1">
        <f t="array" aca="1" ref="C189" ca="1">INDEX(Customers[Customer ID],RANDBETWEEN(1,200))</f>
        <v>C060</v>
      </c>
      <c r="D189" t="str" cm="1">
        <f t="array" aca="1" ref="D189" ca="1">INDEX(Products[Product ID],RANDBETWEEN(1,50))</f>
        <v>P009</v>
      </c>
      <c r="E189" t="str" cm="1">
        <f t="array" aca="1" ref="E189" ca="1">INDEX(Warehouses[Warehouse ID],RANDBETWEEN(1,8))</f>
        <v>W002</v>
      </c>
      <c r="F189">
        <f t="shared" ca="1" si="6"/>
        <v>1</v>
      </c>
      <c r="G189">
        <f ca="1">_xlfn.XLOOKUP(Orders[[#This Row],[Product ID]],Products[Product ID],Products[Selling Price])</f>
        <v>20000</v>
      </c>
      <c r="H189" s="6">
        <f t="shared" ca="1" si="7"/>
        <v>0.14000000000000001</v>
      </c>
      <c r="I189">
        <f ca="1">Orders[[#This Row],[Quantity]]*Orders[[#This Row],[Unit Price]]*(1-Orders[[#This Row],[Discount%]])</f>
        <v>17200</v>
      </c>
      <c r="J189" t="str" cm="1">
        <f t="array" aca="1" ref="J189" ca="1">INDEX(PaymentMethods[Payment Method],RANDBETWEEN(1,5))</f>
        <v>UPI</v>
      </c>
    </row>
    <row r="190" spans="1:10" x14ac:dyDescent="0.3">
      <c r="A190" t="str">
        <f t="shared" si="8"/>
        <v>O0189</v>
      </c>
      <c r="B190" s="6">
        <f ca="1">Orders[[#This Row],[Discount%]]</f>
        <v>0.12</v>
      </c>
      <c r="C190" t="str" cm="1">
        <f t="array" aca="1" ref="C190" ca="1">INDEX(Customers[Customer ID],RANDBETWEEN(1,200))</f>
        <v>C141</v>
      </c>
      <c r="D190" t="str" cm="1">
        <f t="array" aca="1" ref="D190" ca="1">INDEX(Products[Product ID],RANDBETWEEN(1,50))</f>
        <v>P021</v>
      </c>
      <c r="E190" t="str" cm="1">
        <f t="array" aca="1" ref="E190" ca="1">INDEX(Warehouses[Warehouse ID],RANDBETWEEN(1,8))</f>
        <v>W003</v>
      </c>
      <c r="F190">
        <f t="shared" ca="1" si="6"/>
        <v>7</v>
      </c>
      <c r="G190">
        <f ca="1">_xlfn.XLOOKUP(Orders[[#This Row],[Product ID]],Products[Product ID],Products[Selling Price])</f>
        <v>22000</v>
      </c>
      <c r="H190" s="6">
        <f t="shared" ca="1" si="7"/>
        <v>0.12</v>
      </c>
      <c r="I190">
        <f ca="1">Orders[[#This Row],[Quantity]]*Orders[[#This Row],[Unit Price]]*(1-Orders[[#This Row],[Discount%]])</f>
        <v>135520</v>
      </c>
      <c r="J190" t="str" cm="1">
        <f t="array" aca="1" ref="J190" ca="1">INDEX(PaymentMethods[Payment Method],RANDBETWEEN(1,5))</f>
        <v>Credit Card</v>
      </c>
    </row>
    <row r="191" spans="1:10" x14ac:dyDescent="0.3">
      <c r="A191" t="str">
        <f t="shared" si="8"/>
        <v>O0190</v>
      </c>
      <c r="B191" s="6">
        <f ca="1">Orders[[#This Row],[Discount%]]</f>
        <v>0.14000000000000001</v>
      </c>
      <c r="C191" t="str" cm="1">
        <f t="array" aca="1" ref="C191" ca="1">INDEX(Customers[Customer ID],RANDBETWEEN(1,200))</f>
        <v>C155</v>
      </c>
      <c r="D191" t="str" cm="1">
        <f t="array" aca="1" ref="D191" ca="1">INDEX(Products[Product ID],RANDBETWEEN(1,50))</f>
        <v>P039</v>
      </c>
      <c r="E191" t="str" cm="1">
        <f t="array" aca="1" ref="E191" ca="1">INDEX(Warehouses[Warehouse ID],RANDBETWEEN(1,8))</f>
        <v>W005</v>
      </c>
      <c r="F191">
        <f t="shared" ca="1" si="6"/>
        <v>9</v>
      </c>
      <c r="G191">
        <f ca="1">_xlfn.XLOOKUP(Orders[[#This Row],[Product ID]],Products[Product ID],Products[Selling Price])</f>
        <v>250</v>
      </c>
      <c r="H191" s="6">
        <f t="shared" ca="1" si="7"/>
        <v>0.14000000000000001</v>
      </c>
      <c r="I191">
        <f ca="1">Orders[[#This Row],[Quantity]]*Orders[[#This Row],[Unit Price]]*(1-Orders[[#This Row],[Discount%]])</f>
        <v>1935</v>
      </c>
      <c r="J191" t="str" cm="1">
        <f t="array" aca="1" ref="J191" ca="1">INDEX(PaymentMethods[Payment Method],RANDBETWEEN(1,5))</f>
        <v>Cash</v>
      </c>
    </row>
    <row r="192" spans="1:10" x14ac:dyDescent="0.3">
      <c r="A192" t="str">
        <f t="shared" si="8"/>
        <v>O0191</v>
      </c>
      <c r="B192" s="6">
        <f ca="1">Orders[[#This Row],[Discount%]]</f>
        <v>0.18</v>
      </c>
      <c r="C192" t="str" cm="1">
        <f t="array" aca="1" ref="C192" ca="1">INDEX(Customers[Customer ID],RANDBETWEEN(1,200))</f>
        <v>C095</v>
      </c>
      <c r="D192" t="str" cm="1">
        <f t="array" aca="1" ref="D192" ca="1">INDEX(Products[Product ID],RANDBETWEEN(1,50))</f>
        <v>P038</v>
      </c>
      <c r="E192" t="str" cm="1">
        <f t="array" aca="1" ref="E192" ca="1">INDEX(Warehouses[Warehouse ID],RANDBETWEEN(1,8))</f>
        <v>W004</v>
      </c>
      <c r="F192">
        <f t="shared" ca="1" si="6"/>
        <v>2</v>
      </c>
      <c r="G192">
        <f ca="1">_xlfn.XLOOKUP(Orders[[#This Row],[Product ID]],Products[Product ID],Products[Selling Price])</f>
        <v>1500</v>
      </c>
      <c r="H192" s="6">
        <f t="shared" ca="1" si="7"/>
        <v>0.18</v>
      </c>
      <c r="I192">
        <f ca="1">Orders[[#This Row],[Quantity]]*Orders[[#This Row],[Unit Price]]*(1-Orders[[#This Row],[Discount%]])</f>
        <v>2460</v>
      </c>
      <c r="J192" t="str" cm="1">
        <f t="array" aca="1" ref="J192" ca="1">INDEX(PaymentMethods[Payment Method],RANDBETWEEN(1,5))</f>
        <v>Net Banking</v>
      </c>
    </row>
    <row r="193" spans="1:10" x14ac:dyDescent="0.3">
      <c r="A193" t="str">
        <f t="shared" si="8"/>
        <v>O0192</v>
      </c>
      <c r="B193" s="6">
        <f ca="1">Orders[[#This Row],[Discount%]]</f>
        <v>0.16</v>
      </c>
      <c r="C193" t="str" cm="1">
        <f t="array" aca="1" ref="C193" ca="1">INDEX(Customers[Customer ID],RANDBETWEEN(1,200))</f>
        <v>C057</v>
      </c>
      <c r="D193" t="str" cm="1">
        <f t="array" aca="1" ref="D193" ca="1">INDEX(Products[Product ID],RANDBETWEEN(1,50))</f>
        <v>P010</v>
      </c>
      <c r="E193" t="str" cm="1">
        <f t="array" aca="1" ref="E193" ca="1">INDEX(Warehouses[Warehouse ID],RANDBETWEEN(1,8))</f>
        <v>W007</v>
      </c>
      <c r="F193">
        <f t="shared" ca="1" si="6"/>
        <v>6</v>
      </c>
      <c r="G193">
        <f ca="1">_xlfn.XLOOKUP(Orders[[#This Row],[Product ID]],Products[Product ID],Products[Selling Price])</f>
        <v>250</v>
      </c>
      <c r="H193" s="6">
        <f t="shared" ca="1" si="7"/>
        <v>0.16</v>
      </c>
      <c r="I193">
        <f ca="1">Orders[[#This Row],[Quantity]]*Orders[[#This Row],[Unit Price]]*(1-Orders[[#This Row],[Discount%]])</f>
        <v>1260</v>
      </c>
      <c r="J193" t="str" cm="1">
        <f t="array" aca="1" ref="J193" ca="1">INDEX(PaymentMethods[Payment Method],RANDBETWEEN(1,5))</f>
        <v>Credit Card</v>
      </c>
    </row>
    <row r="194" spans="1:10" x14ac:dyDescent="0.3">
      <c r="A194" t="str">
        <f t="shared" si="8"/>
        <v>O0193</v>
      </c>
      <c r="B194" s="6">
        <f ca="1">Orders[[#This Row],[Discount%]]</f>
        <v>0.06</v>
      </c>
      <c r="C194" t="str" cm="1">
        <f t="array" aca="1" ref="C194" ca="1">INDEX(Customers[Customer ID],RANDBETWEEN(1,200))</f>
        <v>C094</v>
      </c>
      <c r="D194" t="str" cm="1">
        <f t="array" aca="1" ref="D194" ca="1">INDEX(Products[Product ID],RANDBETWEEN(1,50))</f>
        <v>P023</v>
      </c>
      <c r="E194" t="str" cm="1">
        <f t="array" aca="1" ref="E194" ca="1">INDEX(Warehouses[Warehouse ID],RANDBETWEEN(1,8))</f>
        <v>W007</v>
      </c>
      <c r="F194">
        <f t="shared" ref="F194:F257" ca="1" si="9">RANDBETWEEN(1,10)</f>
        <v>8</v>
      </c>
      <c r="G194">
        <f ca="1">_xlfn.XLOOKUP(Orders[[#This Row],[Product ID]],Products[Product ID],Products[Selling Price])</f>
        <v>2300</v>
      </c>
      <c r="H194" s="6">
        <f t="shared" ref="H194:H257" ca="1" si="10">RANDBETWEEN(0,20)/100</f>
        <v>0.06</v>
      </c>
      <c r="I194">
        <f ca="1">Orders[[#This Row],[Quantity]]*Orders[[#This Row],[Unit Price]]*(1-Orders[[#This Row],[Discount%]])</f>
        <v>17296</v>
      </c>
      <c r="J194" t="str" cm="1">
        <f t="array" aca="1" ref="J194" ca="1">INDEX(PaymentMethods[Payment Method],RANDBETWEEN(1,5))</f>
        <v>UPI</v>
      </c>
    </row>
    <row r="195" spans="1:10" x14ac:dyDescent="0.3">
      <c r="A195" t="str">
        <f t="shared" ref="A195:A258" si="11">"O"&amp;TEXT(ROW()-1,"0000")</f>
        <v>O0194</v>
      </c>
      <c r="B195" s="6">
        <f ca="1">Orders[[#This Row],[Discount%]]</f>
        <v>0.01</v>
      </c>
      <c r="C195" t="str" cm="1">
        <f t="array" aca="1" ref="C195" ca="1">INDEX(Customers[Customer ID],RANDBETWEEN(1,200))</f>
        <v>C088</v>
      </c>
      <c r="D195" t="str" cm="1">
        <f t="array" aca="1" ref="D195" ca="1">INDEX(Products[Product ID],RANDBETWEEN(1,50))</f>
        <v>P001</v>
      </c>
      <c r="E195" t="str" cm="1">
        <f t="array" aca="1" ref="E195" ca="1">INDEX(Warehouses[Warehouse ID],RANDBETWEEN(1,8))</f>
        <v>W004</v>
      </c>
      <c r="F195">
        <f t="shared" ca="1" si="9"/>
        <v>6</v>
      </c>
      <c r="G195">
        <f ca="1">_xlfn.XLOOKUP(Orders[[#This Row],[Product ID]],Products[Product ID],Products[Selling Price])</f>
        <v>42000</v>
      </c>
      <c r="H195" s="6">
        <f t="shared" ca="1" si="10"/>
        <v>0.01</v>
      </c>
      <c r="I195">
        <f ca="1">Orders[[#This Row],[Quantity]]*Orders[[#This Row],[Unit Price]]*(1-Orders[[#This Row],[Discount%]])</f>
        <v>249480</v>
      </c>
      <c r="J195" t="str" cm="1">
        <f t="array" aca="1" ref="J195" ca="1">INDEX(PaymentMethods[Payment Method],RANDBETWEEN(1,5))</f>
        <v>Credit Card</v>
      </c>
    </row>
    <row r="196" spans="1:10" x14ac:dyDescent="0.3">
      <c r="A196" t="str">
        <f t="shared" si="11"/>
        <v>O0195</v>
      </c>
      <c r="B196" s="6">
        <f ca="1">Orders[[#This Row],[Discount%]]</f>
        <v>0.19</v>
      </c>
      <c r="C196" t="str" cm="1">
        <f t="array" aca="1" ref="C196" ca="1">INDEX(Customers[Customer ID],RANDBETWEEN(1,200))</f>
        <v>C030</v>
      </c>
      <c r="D196" t="str" cm="1">
        <f t="array" aca="1" ref="D196" ca="1">INDEX(Products[Product ID],RANDBETWEEN(1,50))</f>
        <v>P027</v>
      </c>
      <c r="E196" t="str" cm="1">
        <f t="array" aca="1" ref="E196" ca="1">INDEX(Warehouses[Warehouse ID],RANDBETWEEN(1,8))</f>
        <v>W008</v>
      </c>
      <c r="F196">
        <f t="shared" ca="1" si="9"/>
        <v>3</v>
      </c>
      <c r="G196">
        <f ca="1">_xlfn.XLOOKUP(Orders[[#This Row],[Product ID]],Products[Product ID],Products[Selling Price])</f>
        <v>4000</v>
      </c>
      <c r="H196" s="6">
        <f t="shared" ca="1" si="10"/>
        <v>0.19</v>
      </c>
      <c r="I196">
        <f ca="1">Orders[[#This Row],[Quantity]]*Orders[[#This Row],[Unit Price]]*(1-Orders[[#This Row],[Discount%]])</f>
        <v>9720</v>
      </c>
      <c r="J196" t="str" cm="1">
        <f t="array" aca="1" ref="J196" ca="1">INDEX(PaymentMethods[Payment Method],RANDBETWEEN(1,5))</f>
        <v>Debit Card</v>
      </c>
    </row>
    <row r="197" spans="1:10" x14ac:dyDescent="0.3">
      <c r="A197" t="str">
        <f t="shared" si="11"/>
        <v>O0196</v>
      </c>
      <c r="B197" s="6">
        <f ca="1">Orders[[#This Row],[Discount%]]</f>
        <v>0.11</v>
      </c>
      <c r="C197" t="str" cm="1">
        <f t="array" aca="1" ref="C197" ca="1">INDEX(Customers[Customer ID],RANDBETWEEN(1,200))</f>
        <v>C153</v>
      </c>
      <c r="D197" t="str" cm="1">
        <f t="array" aca="1" ref="D197" ca="1">INDEX(Products[Product ID],RANDBETWEEN(1,50))</f>
        <v>P034</v>
      </c>
      <c r="E197" t="str" cm="1">
        <f t="array" aca="1" ref="E197" ca="1">INDEX(Warehouses[Warehouse ID],RANDBETWEEN(1,8))</f>
        <v>W004</v>
      </c>
      <c r="F197">
        <f t="shared" ca="1" si="9"/>
        <v>5</v>
      </c>
      <c r="G197">
        <f ca="1">_xlfn.XLOOKUP(Orders[[#This Row],[Product ID]],Products[Product ID],Products[Selling Price])</f>
        <v>120</v>
      </c>
      <c r="H197" s="6">
        <f t="shared" ca="1" si="10"/>
        <v>0.11</v>
      </c>
      <c r="I197">
        <f ca="1">Orders[[#This Row],[Quantity]]*Orders[[#This Row],[Unit Price]]*(1-Orders[[#This Row],[Discount%]])</f>
        <v>534</v>
      </c>
      <c r="J197" t="str" cm="1">
        <f t="array" aca="1" ref="J197" ca="1">INDEX(PaymentMethods[Payment Method],RANDBETWEEN(1,5))</f>
        <v>Credit Card</v>
      </c>
    </row>
    <row r="198" spans="1:10" x14ac:dyDescent="0.3">
      <c r="A198" t="str">
        <f t="shared" si="11"/>
        <v>O0197</v>
      </c>
      <c r="B198" s="6">
        <f ca="1">Orders[[#This Row],[Discount%]]</f>
        <v>0.18</v>
      </c>
      <c r="C198" t="str" cm="1">
        <f t="array" aca="1" ref="C198" ca="1">INDEX(Customers[Customer ID],RANDBETWEEN(1,200))</f>
        <v>C113</v>
      </c>
      <c r="D198" t="str" cm="1">
        <f t="array" aca="1" ref="D198" ca="1">INDEX(Products[Product ID],RANDBETWEEN(1,50))</f>
        <v>P004</v>
      </c>
      <c r="E198" t="str" cm="1">
        <f t="array" aca="1" ref="E198" ca="1">INDEX(Warehouses[Warehouse ID],RANDBETWEEN(1,8))</f>
        <v>W001</v>
      </c>
      <c r="F198">
        <f t="shared" ca="1" si="9"/>
        <v>3</v>
      </c>
      <c r="G198">
        <f ca="1">_xlfn.XLOOKUP(Orders[[#This Row],[Product ID]],Products[Product ID],Products[Selling Price])</f>
        <v>9000</v>
      </c>
      <c r="H198" s="6">
        <f t="shared" ca="1" si="10"/>
        <v>0.18</v>
      </c>
      <c r="I198">
        <f ca="1">Orders[[#This Row],[Quantity]]*Orders[[#This Row],[Unit Price]]*(1-Orders[[#This Row],[Discount%]])</f>
        <v>22140</v>
      </c>
      <c r="J198" t="str" cm="1">
        <f t="array" aca="1" ref="J198" ca="1">INDEX(PaymentMethods[Payment Method],RANDBETWEEN(1,5))</f>
        <v>Net Banking</v>
      </c>
    </row>
    <row r="199" spans="1:10" x14ac:dyDescent="0.3">
      <c r="A199" t="str">
        <f t="shared" si="11"/>
        <v>O0198</v>
      </c>
      <c r="B199" s="6">
        <f ca="1">Orders[[#This Row],[Discount%]]</f>
        <v>0.1</v>
      </c>
      <c r="C199" t="str" cm="1">
        <f t="array" aca="1" ref="C199" ca="1">INDEX(Customers[Customer ID],RANDBETWEEN(1,200))</f>
        <v>C148</v>
      </c>
      <c r="D199" t="str" cm="1">
        <f t="array" aca="1" ref="D199" ca="1">INDEX(Products[Product ID],RANDBETWEEN(1,50))</f>
        <v>P050</v>
      </c>
      <c r="E199" t="str" cm="1">
        <f t="array" aca="1" ref="E199" ca="1">INDEX(Warehouses[Warehouse ID],RANDBETWEEN(1,8))</f>
        <v>W007</v>
      </c>
      <c r="F199">
        <f t="shared" ca="1" si="9"/>
        <v>9</v>
      </c>
      <c r="G199">
        <f ca="1">_xlfn.XLOOKUP(Orders[[#This Row],[Product ID]],Products[Product ID],Products[Selling Price])</f>
        <v>12000</v>
      </c>
      <c r="H199" s="6">
        <f t="shared" ca="1" si="10"/>
        <v>0.1</v>
      </c>
      <c r="I199">
        <f ca="1">Orders[[#This Row],[Quantity]]*Orders[[#This Row],[Unit Price]]*(1-Orders[[#This Row],[Discount%]])</f>
        <v>97200</v>
      </c>
      <c r="J199" t="str" cm="1">
        <f t="array" aca="1" ref="J199" ca="1">INDEX(PaymentMethods[Payment Method],RANDBETWEEN(1,5))</f>
        <v>Debit Card</v>
      </c>
    </row>
    <row r="200" spans="1:10" x14ac:dyDescent="0.3">
      <c r="A200" t="str">
        <f t="shared" si="11"/>
        <v>O0199</v>
      </c>
      <c r="B200" s="6">
        <f ca="1">Orders[[#This Row],[Discount%]]</f>
        <v>0.17</v>
      </c>
      <c r="C200" t="str" cm="1">
        <f t="array" aca="1" ref="C200" ca="1">INDEX(Customers[Customer ID],RANDBETWEEN(1,200))</f>
        <v>C065</v>
      </c>
      <c r="D200" t="str" cm="1">
        <f t="array" aca="1" ref="D200" ca="1">INDEX(Products[Product ID],RANDBETWEEN(1,50))</f>
        <v>P036</v>
      </c>
      <c r="E200" t="str" cm="1">
        <f t="array" aca="1" ref="E200" ca="1">INDEX(Warehouses[Warehouse ID],RANDBETWEEN(1,8))</f>
        <v>W008</v>
      </c>
      <c r="F200">
        <f t="shared" ca="1" si="9"/>
        <v>3</v>
      </c>
      <c r="G200">
        <f ca="1">_xlfn.XLOOKUP(Orders[[#This Row],[Product ID]],Products[Product ID],Products[Selling Price])</f>
        <v>450</v>
      </c>
      <c r="H200" s="6">
        <f t="shared" ca="1" si="10"/>
        <v>0.17</v>
      </c>
      <c r="I200">
        <f ca="1">Orders[[#This Row],[Quantity]]*Orders[[#This Row],[Unit Price]]*(1-Orders[[#This Row],[Discount%]])</f>
        <v>1120.5</v>
      </c>
      <c r="J200" t="str" cm="1">
        <f t="array" aca="1" ref="J200" ca="1">INDEX(PaymentMethods[Payment Method],RANDBETWEEN(1,5))</f>
        <v>Credit Card</v>
      </c>
    </row>
    <row r="201" spans="1:10" x14ac:dyDescent="0.3">
      <c r="A201" t="str">
        <f t="shared" si="11"/>
        <v>O0200</v>
      </c>
      <c r="B201" s="6">
        <f ca="1">Orders[[#This Row],[Discount%]]</f>
        <v>0.15</v>
      </c>
      <c r="C201" t="str" cm="1">
        <f t="array" aca="1" ref="C201" ca="1">INDEX(Customers[Customer ID],RANDBETWEEN(1,200))</f>
        <v>C141</v>
      </c>
      <c r="D201" t="str" cm="1">
        <f t="array" aca="1" ref="D201" ca="1">INDEX(Products[Product ID],RANDBETWEEN(1,50))</f>
        <v>P039</v>
      </c>
      <c r="E201" t="str" cm="1">
        <f t="array" aca="1" ref="E201" ca="1">INDEX(Warehouses[Warehouse ID],RANDBETWEEN(1,8))</f>
        <v>W004</v>
      </c>
      <c r="F201">
        <f t="shared" ca="1" si="9"/>
        <v>1</v>
      </c>
      <c r="G201">
        <f ca="1">_xlfn.XLOOKUP(Orders[[#This Row],[Product ID]],Products[Product ID],Products[Selling Price])</f>
        <v>250</v>
      </c>
      <c r="H201" s="6">
        <f t="shared" ca="1" si="10"/>
        <v>0.15</v>
      </c>
      <c r="I201">
        <f ca="1">Orders[[#This Row],[Quantity]]*Orders[[#This Row],[Unit Price]]*(1-Orders[[#This Row],[Discount%]])</f>
        <v>212.5</v>
      </c>
      <c r="J201" t="str" cm="1">
        <f t="array" aca="1" ref="J201" ca="1">INDEX(PaymentMethods[Payment Method],RANDBETWEEN(1,5))</f>
        <v>UPI</v>
      </c>
    </row>
    <row r="202" spans="1:10" x14ac:dyDescent="0.3">
      <c r="A202" t="str">
        <f t="shared" si="11"/>
        <v>O0201</v>
      </c>
      <c r="B202" s="6">
        <f ca="1">Orders[[#This Row],[Discount%]]</f>
        <v>0.02</v>
      </c>
      <c r="C202" t="str" cm="1">
        <f t="array" aca="1" ref="C202" ca="1">INDEX(Customers[Customer ID],RANDBETWEEN(1,200))</f>
        <v>C085</v>
      </c>
      <c r="D202" t="str" cm="1">
        <f t="array" aca="1" ref="D202" ca="1">INDEX(Products[Product ID],RANDBETWEEN(1,50))</f>
        <v>P044</v>
      </c>
      <c r="E202" t="str" cm="1">
        <f t="array" aca="1" ref="E202" ca="1">INDEX(Warehouses[Warehouse ID],RANDBETWEEN(1,8))</f>
        <v>W006</v>
      </c>
      <c r="F202">
        <f t="shared" ca="1" si="9"/>
        <v>8</v>
      </c>
      <c r="G202">
        <f ca="1">_xlfn.XLOOKUP(Orders[[#This Row],[Product ID]],Products[Product ID],Products[Selling Price])</f>
        <v>8500</v>
      </c>
      <c r="H202" s="6">
        <f t="shared" ca="1" si="10"/>
        <v>0.02</v>
      </c>
      <c r="I202">
        <f ca="1">Orders[[#This Row],[Quantity]]*Orders[[#This Row],[Unit Price]]*(1-Orders[[#This Row],[Discount%]])</f>
        <v>66640</v>
      </c>
      <c r="J202" t="str" cm="1">
        <f t="array" aca="1" ref="J202" ca="1">INDEX(PaymentMethods[Payment Method],RANDBETWEEN(1,5))</f>
        <v>Debit Card</v>
      </c>
    </row>
    <row r="203" spans="1:10" x14ac:dyDescent="0.3">
      <c r="A203" t="str">
        <f t="shared" si="11"/>
        <v>O0202</v>
      </c>
      <c r="B203" s="6">
        <f ca="1">Orders[[#This Row],[Discount%]]</f>
        <v>0.13</v>
      </c>
      <c r="C203" t="str" cm="1">
        <f t="array" aca="1" ref="C203" ca="1">INDEX(Customers[Customer ID],RANDBETWEEN(1,200))</f>
        <v>C189</v>
      </c>
      <c r="D203" t="str" cm="1">
        <f t="array" aca="1" ref="D203" ca="1">INDEX(Products[Product ID],RANDBETWEEN(1,50))</f>
        <v>P009</v>
      </c>
      <c r="E203" t="str" cm="1">
        <f t="array" aca="1" ref="E203" ca="1">INDEX(Warehouses[Warehouse ID],RANDBETWEEN(1,8))</f>
        <v>W002</v>
      </c>
      <c r="F203">
        <f t="shared" ca="1" si="9"/>
        <v>5</v>
      </c>
      <c r="G203">
        <f ca="1">_xlfn.XLOOKUP(Orders[[#This Row],[Product ID]],Products[Product ID],Products[Selling Price])</f>
        <v>20000</v>
      </c>
      <c r="H203" s="6">
        <f t="shared" ca="1" si="10"/>
        <v>0.13</v>
      </c>
      <c r="I203">
        <f ca="1">Orders[[#This Row],[Quantity]]*Orders[[#This Row],[Unit Price]]*(1-Orders[[#This Row],[Discount%]])</f>
        <v>87000</v>
      </c>
      <c r="J203" t="str" cm="1">
        <f t="array" aca="1" ref="J203" ca="1">INDEX(PaymentMethods[Payment Method],RANDBETWEEN(1,5))</f>
        <v>Net Banking</v>
      </c>
    </row>
    <row r="204" spans="1:10" x14ac:dyDescent="0.3">
      <c r="A204" t="str">
        <f t="shared" si="11"/>
        <v>O0203</v>
      </c>
      <c r="B204" s="6">
        <f ca="1">Orders[[#This Row],[Discount%]]</f>
        <v>0.04</v>
      </c>
      <c r="C204" t="str" cm="1">
        <f t="array" aca="1" ref="C204" ca="1">INDEX(Customers[Customer ID],RANDBETWEEN(1,200))</f>
        <v>C076</v>
      </c>
      <c r="D204" t="str" cm="1">
        <f t="array" aca="1" ref="D204" ca="1">INDEX(Products[Product ID],RANDBETWEEN(1,50))</f>
        <v>P025</v>
      </c>
      <c r="E204" t="str" cm="1">
        <f t="array" aca="1" ref="E204" ca="1">INDEX(Warehouses[Warehouse ID],RANDBETWEEN(1,8))</f>
        <v>W006</v>
      </c>
      <c r="F204">
        <f t="shared" ca="1" si="9"/>
        <v>7</v>
      </c>
      <c r="G204">
        <f ca="1">_xlfn.XLOOKUP(Orders[[#This Row],[Product ID]],Products[Product ID],Products[Selling Price])</f>
        <v>1800</v>
      </c>
      <c r="H204" s="6">
        <f t="shared" ca="1" si="10"/>
        <v>0.04</v>
      </c>
      <c r="I204">
        <f ca="1">Orders[[#This Row],[Quantity]]*Orders[[#This Row],[Unit Price]]*(1-Orders[[#This Row],[Discount%]])</f>
        <v>12096</v>
      </c>
      <c r="J204" t="str" cm="1">
        <f t="array" aca="1" ref="J204" ca="1">INDEX(PaymentMethods[Payment Method],RANDBETWEEN(1,5))</f>
        <v>Debit Card</v>
      </c>
    </row>
    <row r="205" spans="1:10" x14ac:dyDescent="0.3">
      <c r="A205" t="str">
        <f t="shared" si="11"/>
        <v>O0204</v>
      </c>
      <c r="B205" s="6">
        <f ca="1">Orders[[#This Row],[Discount%]]</f>
        <v>0.14000000000000001</v>
      </c>
      <c r="C205" t="str" cm="1">
        <f t="array" aca="1" ref="C205" ca="1">INDEX(Customers[Customer ID],RANDBETWEEN(1,200))</f>
        <v>C081</v>
      </c>
      <c r="D205" t="str" cm="1">
        <f t="array" aca="1" ref="D205" ca="1">INDEX(Products[Product ID],RANDBETWEEN(1,50))</f>
        <v>P018</v>
      </c>
      <c r="E205" t="str" cm="1">
        <f t="array" aca="1" ref="E205" ca="1">INDEX(Warehouses[Warehouse ID],RANDBETWEEN(1,8))</f>
        <v>W008</v>
      </c>
      <c r="F205">
        <f t="shared" ca="1" si="9"/>
        <v>6</v>
      </c>
      <c r="G205">
        <f ca="1">_xlfn.XLOOKUP(Orders[[#This Row],[Product ID]],Products[Product ID],Products[Selling Price])</f>
        <v>1500</v>
      </c>
      <c r="H205" s="6">
        <f t="shared" ca="1" si="10"/>
        <v>0.14000000000000001</v>
      </c>
      <c r="I205">
        <f ca="1">Orders[[#This Row],[Quantity]]*Orders[[#This Row],[Unit Price]]*(1-Orders[[#This Row],[Discount%]])</f>
        <v>7740</v>
      </c>
      <c r="J205" t="str" cm="1">
        <f t="array" aca="1" ref="J205" ca="1">INDEX(PaymentMethods[Payment Method],RANDBETWEEN(1,5))</f>
        <v>Cash</v>
      </c>
    </row>
    <row r="206" spans="1:10" x14ac:dyDescent="0.3">
      <c r="A206" t="str">
        <f t="shared" si="11"/>
        <v>O0205</v>
      </c>
      <c r="B206" s="6">
        <f ca="1">Orders[[#This Row],[Discount%]]</f>
        <v>0.1</v>
      </c>
      <c r="C206" t="str" cm="1">
        <f t="array" aca="1" ref="C206" ca="1">INDEX(Customers[Customer ID],RANDBETWEEN(1,200))</f>
        <v>C184</v>
      </c>
      <c r="D206" t="str" cm="1">
        <f t="array" aca="1" ref="D206" ca="1">INDEX(Products[Product ID],RANDBETWEEN(1,50))</f>
        <v>P025</v>
      </c>
      <c r="E206" t="str" cm="1">
        <f t="array" aca="1" ref="E206" ca="1">INDEX(Warehouses[Warehouse ID],RANDBETWEEN(1,8))</f>
        <v>W003</v>
      </c>
      <c r="F206">
        <f t="shared" ca="1" si="9"/>
        <v>8</v>
      </c>
      <c r="G206">
        <f ca="1">_xlfn.XLOOKUP(Orders[[#This Row],[Product ID]],Products[Product ID],Products[Selling Price])</f>
        <v>1800</v>
      </c>
      <c r="H206" s="6">
        <f t="shared" ca="1" si="10"/>
        <v>0.1</v>
      </c>
      <c r="I206">
        <f ca="1">Orders[[#This Row],[Quantity]]*Orders[[#This Row],[Unit Price]]*(1-Orders[[#This Row],[Discount%]])</f>
        <v>12960</v>
      </c>
      <c r="J206" t="str" cm="1">
        <f t="array" aca="1" ref="J206" ca="1">INDEX(PaymentMethods[Payment Method],RANDBETWEEN(1,5))</f>
        <v>Credit Card</v>
      </c>
    </row>
    <row r="207" spans="1:10" x14ac:dyDescent="0.3">
      <c r="A207" t="str">
        <f t="shared" si="11"/>
        <v>O0206</v>
      </c>
      <c r="B207" s="6">
        <f ca="1">Orders[[#This Row],[Discount%]]</f>
        <v>0</v>
      </c>
      <c r="C207" t="str" cm="1">
        <f t="array" aca="1" ref="C207" ca="1">INDEX(Customers[Customer ID],RANDBETWEEN(1,200))</f>
        <v>C018</v>
      </c>
      <c r="D207" t="str" cm="1">
        <f t="array" aca="1" ref="D207" ca="1">INDEX(Products[Product ID],RANDBETWEEN(1,50))</f>
        <v>P014</v>
      </c>
      <c r="E207" t="str" cm="1">
        <f t="array" aca="1" ref="E207" ca="1">INDEX(Warehouses[Warehouse ID],RANDBETWEEN(1,8))</f>
        <v>W001</v>
      </c>
      <c r="F207">
        <f t="shared" ca="1" si="9"/>
        <v>10</v>
      </c>
      <c r="G207">
        <f ca="1">_xlfn.XLOOKUP(Orders[[#This Row],[Product ID]],Products[Product ID],Products[Selling Price])</f>
        <v>800</v>
      </c>
      <c r="H207" s="6">
        <f t="shared" ca="1" si="10"/>
        <v>0</v>
      </c>
      <c r="I207">
        <f ca="1">Orders[[#This Row],[Quantity]]*Orders[[#This Row],[Unit Price]]*(1-Orders[[#This Row],[Discount%]])</f>
        <v>8000</v>
      </c>
      <c r="J207" t="str" cm="1">
        <f t="array" aca="1" ref="J207" ca="1">INDEX(PaymentMethods[Payment Method],RANDBETWEEN(1,5))</f>
        <v>Credit Card</v>
      </c>
    </row>
    <row r="208" spans="1:10" x14ac:dyDescent="0.3">
      <c r="A208" t="str">
        <f t="shared" si="11"/>
        <v>O0207</v>
      </c>
      <c r="B208" s="6">
        <f ca="1">Orders[[#This Row],[Discount%]]</f>
        <v>0.04</v>
      </c>
      <c r="C208" t="str" cm="1">
        <f t="array" aca="1" ref="C208" ca="1">INDEX(Customers[Customer ID],RANDBETWEEN(1,200))</f>
        <v>C020</v>
      </c>
      <c r="D208" t="str" cm="1">
        <f t="array" aca="1" ref="D208" ca="1">INDEX(Products[Product ID],RANDBETWEEN(1,50))</f>
        <v>P012</v>
      </c>
      <c r="E208" t="str" cm="1">
        <f t="array" aca="1" ref="E208" ca="1">INDEX(Warehouses[Warehouse ID],RANDBETWEEN(1,8))</f>
        <v>W004</v>
      </c>
      <c r="F208">
        <f t="shared" ca="1" si="9"/>
        <v>6</v>
      </c>
      <c r="G208">
        <f ca="1">_xlfn.XLOOKUP(Orders[[#This Row],[Product ID]],Products[Product ID],Products[Selling Price])</f>
        <v>80</v>
      </c>
      <c r="H208" s="6">
        <f t="shared" ca="1" si="10"/>
        <v>0.04</v>
      </c>
      <c r="I208">
        <f ca="1">Orders[[#This Row],[Quantity]]*Orders[[#This Row],[Unit Price]]*(1-Orders[[#This Row],[Discount%]])</f>
        <v>460.79999999999995</v>
      </c>
      <c r="J208" t="str" cm="1">
        <f t="array" aca="1" ref="J208" ca="1">INDEX(PaymentMethods[Payment Method],RANDBETWEEN(1,5))</f>
        <v>Debit Card</v>
      </c>
    </row>
    <row r="209" spans="1:10" x14ac:dyDescent="0.3">
      <c r="A209" t="str">
        <f t="shared" si="11"/>
        <v>O0208</v>
      </c>
      <c r="B209" s="6">
        <f ca="1">Orders[[#This Row],[Discount%]]</f>
        <v>0.17</v>
      </c>
      <c r="C209" t="str" cm="1">
        <f t="array" aca="1" ref="C209" ca="1">INDEX(Customers[Customer ID],RANDBETWEEN(1,200))</f>
        <v>C170</v>
      </c>
      <c r="D209" t="str" cm="1">
        <f t="array" aca="1" ref="D209" ca="1">INDEX(Products[Product ID],RANDBETWEEN(1,50))</f>
        <v>P027</v>
      </c>
      <c r="E209" t="str" cm="1">
        <f t="array" aca="1" ref="E209" ca="1">INDEX(Warehouses[Warehouse ID],RANDBETWEEN(1,8))</f>
        <v>W001</v>
      </c>
      <c r="F209">
        <f t="shared" ca="1" si="9"/>
        <v>7</v>
      </c>
      <c r="G209">
        <f ca="1">_xlfn.XLOOKUP(Orders[[#This Row],[Product ID]],Products[Product ID],Products[Selling Price])</f>
        <v>4000</v>
      </c>
      <c r="H209" s="6">
        <f t="shared" ca="1" si="10"/>
        <v>0.17</v>
      </c>
      <c r="I209">
        <f ca="1">Orders[[#This Row],[Quantity]]*Orders[[#This Row],[Unit Price]]*(1-Orders[[#This Row],[Discount%]])</f>
        <v>23240</v>
      </c>
      <c r="J209" t="str" cm="1">
        <f t="array" aca="1" ref="J209" ca="1">INDEX(PaymentMethods[Payment Method],RANDBETWEEN(1,5))</f>
        <v>UPI</v>
      </c>
    </row>
    <row r="210" spans="1:10" x14ac:dyDescent="0.3">
      <c r="A210" t="str">
        <f t="shared" si="11"/>
        <v>O0209</v>
      </c>
      <c r="B210" s="6">
        <f ca="1">Orders[[#This Row],[Discount%]]</f>
        <v>0.06</v>
      </c>
      <c r="C210" t="str" cm="1">
        <f t="array" aca="1" ref="C210" ca="1">INDEX(Customers[Customer ID],RANDBETWEEN(1,200))</f>
        <v>C050</v>
      </c>
      <c r="D210" t="str" cm="1">
        <f t="array" aca="1" ref="D210" ca="1">INDEX(Products[Product ID],RANDBETWEEN(1,50))</f>
        <v>P034</v>
      </c>
      <c r="E210" t="str" cm="1">
        <f t="array" aca="1" ref="E210" ca="1">INDEX(Warehouses[Warehouse ID],RANDBETWEEN(1,8))</f>
        <v>W005</v>
      </c>
      <c r="F210">
        <f t="shared" ca="1" si="9"/>
        <v>5</v>
      </c>
      <c r="G210">
        <f ca="1">_xlfn.XLOOKUP(Orders[[#This Row],[Product ID]],Products[Product ID],Products[Selling Price])</f>
        <v>120</v>
      </c>
      <c r="H210" s="6">
        <f t="shared" ca="1" si="10"/>
        <v>0.06</v>
      </c>
      <c r="I210">
        <f ca="1">Orders[[#This Row],[Quantity]]*Orders[[#This Row],[Unit Price]]*(1-Orders[[#This Row],[Discount%]])</f>
        <v>564</v>
      </c>
      <c r="J210" t="str" cm="1">
        <f t="array" aca="1" ref="J210" ca="1">INDEX(PaymentMethods[Payment Method],RANDBETWEEN(1,5))</f>
        <v>Credit Card</v>
      </c>
    </row>
    <row r="211" spans="1:10" x14ac:dyDescent="0.3">
      <c r="A211" t="str">
        <f t="shared" si="11"/>
        <v>O0210</v>
      </c>
      <c r="B211" s="6">
        <f ca="1">Orders[[#This Row],[Discount%]]</f>
        <v>0.11</v>
      </c>
      <c r="C211" t="str" cm="1">
        <f t="array" aca="1" ref="C211" ca="1">INDEX(Customers[Customer ID],RANDBETWEEN(1,200))</f>
        <v>C136</v>
      </c>
      <c r="D211" t="str" cm="1">
        <f t="array" aca="1" ref="D211" ca="1">INDEX(Products[Product ID],RANDBETWEEN(1,50))</f>
        <v>P028</v>
      </c>
      <c r="E211" t="str" cm="1">
        <f t="array" aca="1" ref="E211" ca="1">INDEX(Warehouses[Warehouse ID],RANDBETWEEN(1,8))</f>
        <v>W007</v>
      </c>
      <c r="F211">
        <f t="shared" ca="1" si="9"/>
        <v>7</v>
      </c>
      <c r="G211">
        <f ca="1">_xlfn.XLOOKUP(Orders[[#This Row],[Product ID]],Products[Product ID],Products[Selling Price])</f>
        <v>16500</v>
      </c>
      <c r="H211" s="6">
        <f t="shared" ca="1" si="10"/>
        <v>0.11</v>
      </c>
      <c r="I211">
        <f ca="1">Orders[[#This Row],[Quantity]]*Orders[[#This Row],[Unit Price]]*(1-Orders[[#This Row],[Discount%]])</f>
        <v>102795</v>
      </c>
      <c r="J211" t="str" cm="1">
        <f t="array" aca="1" ref="J211" ca="1">INDEX(PaymentMethods[Payment Method],RANDBETWEEN(1,5))</f>
        <v>UPI</v>
      </c>
    </row>
    <row r="212" spans="1:10" x14ac:dyDescent="0.3">
      <c r="A212" t="str">
        <f t="shared" si="11"/>
        <v>O0211</v>
      </c>
      <c r="B212" s="6">
        <f ca="1">Orders[[#This Row],[Discount%]]</f>
        <v>0.16</v>
      </c>
      <c r="C212" t="str" cm="1">
        <f t="array" aca="1" ref="C212" ca="1">INDEX(Customers[Customer ID],RANDBETWEEN(1,200))</f>
        <v>C191</v>
      </c>
      <c r="D212" t="str" cm="1">
        <f t="array" aca="1" ref="D212" ca="1">INDEX(Products[Product ID],RANDBETWEEN(1,50))</f>
        <v>P013</v>
      </c>
      <c r="E212" t="str" cm="1">
        <f t="array" aca="1" ref="E212" ca="1">INDEX(Warehouses[Warehouse ID],RANDBETWEEN(1,8))</f>
        <v>W007</v>
      </c>
      <c r="F212">
        <f t="shared" ca="1" si="9"/>
        <v>8</v>
      </c>
      <c r="G212">
        <f ca="1">_xlfn.XLOOKUP(Orders[[#This Row],[Product ID]],Products[Product ID],Products[Selling Price])</f>
        <v>25</v>
      </c>
      <c r="H212" s="6">
        <f t="shared" ca="1" si="10"/>
        <v>0.16</v>
      </c>
      <c r="I212">
        <f ca="1">Orders[[#This Row],[Quantity]]*Orders[[#This Row],[Unit Price]]*(1-Orders[[#This Row],[Discount%]])</f>
        <v>168</v>
      </c>
      <c r="J212" t="str" cm="1">
        <f t="array" aca="1" ref="J212" ca="1">INDEX(PaymentMethods[Payment Method],RANDBETWEEN(1,5))</f>
        <v>UPI</v>
      </c>
    </row>
    <row r="213" spans="1:10" x14ac:dyDescent="0.3">
      <c r="A213" t="str">
        <f t="shared" si="11"/>
        <v>O0212</v>
      </c>
      <c r="B213" s="6">
        <f ca="1">Orders[[#This Row],[Discount%]]</f>
        <v>0.08</v>
      </c>
      <c r="C213" t="str" cm="1">
        <f t="array" aca="1" ref="C213" ca="1">INDEX(Customers[Customer ID],RANDBETWEEN(1,200))</f>
        <v>C033</v>
      </c>
      <c r="D213" t="str" cm="1">
        <f t="array" aca="1" ref="D213" ca="1">INDEX(Products[Product ID],RANDBETWEEN(1,50))</f>
        <v>P040</v>
      </c>
      <c r="E213" t="str" cm="1">
        <f t="array" aca="1" ref="E213" ca="1">INDEX(Warehouses[Warehouse ID],RANDBETWEEN(1,8))</f>
        <v>W007</v>
      </c>
      <c r="F213">
        <f t="shared" ca="1" si="9"/>
        <v>9</v>
      </c>
      <c r="G213">
        <f ca="1">_xlfn.XLOOKUP(Orders[[#This Row],[Product ID]],Products[Product ID],Products[Selling Price])</f>
        <v>180</v>
      </c>
      <c r="H213" s="6">
        <f t="shared" ca="1" si="10"/>
        <v>0.08</v>
      </c>
      <c r="I213">
        <f ca="1">Orders[[#This Row],[Quantity]]*Orders[[#This Row],[Unit Price]]*(1-Orders[[#This Row],[Discount%]])</f>
        <v>1490.4</v>
      </c>
      <c r="J213" t="str" cm="1">
        <f t="array" aca="1" ref="J213" ca="1">INDEX(PaymentMethods[Payment Method],RANDBETWEEN(1,5))</f>
        <v>Cash</v>
      </c>
    </row>
    <row r="214" spans="1:10" x14ac:dyDescent="0.3">
      <c r="A214" t="str">
        <f t="shared" si="11"/>
        <v>O0213</v>
      </c>
      <c r="B214" s="6">
        <f ca="1">Orders[[#This Row],[Discount%]]</f>
        <v>0</v>
      </c>
      <c r="C214" t="str" cm="1">
        <f t="array" aca="1" ref="C214" ca="1">INDEX(Customers[Customer ID],RANDBETWEEN(1,200))</f>
        <v>C059</v>
      </c>
      <c r="D214" t="str" cm="1">
        <f t="array" aca="1" ref="D214" ca="1">INDEX(Products[Product ID],RANDBETWEEN(1,50))</f>
        <v>P050</v>
      </c>
      <c r="E214" t="str" cm="1">
        <f t="array" aca="1" ref="E214" ca="1">INDEX(Warehouses[Warehouse ID],RANDBETWEEN(1,8))</f>
        <v>W005</v>
      </c>
      <c r="F214">
        <f t="shared" ca="1" si="9"/>
        <v>1</v>
      </c>
      <c r="G214">
        <f ca="1">_xlfn.XLOOKUP(Orders[[#This Row],[Product ID]],Products[Product ID],Products[Selling Price])</f>
        <v>12000</v>
      </c>
      <c r="H214" s="6">
        <f t="shared" ca="1" si="10"/>
        <v>0</v>
      </c>
      <c r="I214">
        <f ca="1">Orders[[#This Row],[Quantity]]*Orders[[#This Row],[Unit Price]]*(1-Orders[[#This Row],[Discount%]])</f>
        <v>12000</v>
      </c>
      <c r="J214" t="str" cm="1">
        <f t="array" aca="1" ref="J214" ca="1">INDEX(PaymentMethods[Payment Method],RANDBETWEEN(1,5))</f>
        <v>Cash</v>
      </c>
    </row>
    <row r="215" spans="1:10" x14ac:dyDescent="0.3">
      <c r="A215" t="str">
        <f t="shared" si="11"/>
        <v>O0214</v>
      </c>
      <c r="B215" s="6">
        <f ca="1">Orders[[#This Row],[Discount%]]</f>
        <v>0.17</v>
      </c>
      <c r="C215" t="str" cm="1">
        <f t="array" aca="1" ref="C215" ca="1">INDEX(Customers[Customer ID],RANDBETWEEN(1,200))</f>
        <v>C106</v>
      </c>
      <c r="D215" t="str" cm="1">
        <f t="array" aca="1" ref="D215" ca="1">INDEX(Products[Product ID],RANDBETWEEN(1,50))</f>
        <v>P016</v>
      </c>
      <c r="E215" t="str" cm="1">
        <f t="array" aca="1" ref="E215" ca="1">INDEX(Warehouses[Warehouse ID],RANDBETWEEN(1,8))</f>
        <v>W005</v>
      </c>
      <c r="F215">
        <f t="shared" ca="1" si="9"/>
        <v>10</v>
      </c>
      <c r="G215">
        <f ca="1">_xlfn.XLOOKUP(Orders[[#This Row],[Product ID]],Products[Product ID],Products[Selling Price])</f>
        <v>2500</v>
      </c>
      <c r="H215" s="6">
        <f t="shared" ca="1" si="10"/>
        <v>0.17</v>
      </c>
      <c r="I215">
        <f ca="1">Orders[[#This Row],[Quantity]]*Orders[[#This Row],[Unit Price]]*(1-Orders[[#This Row],[Discount%]])</f>
        <v>20750</v>
      </c>
      <c r="J215" t="str" cm="1">
        <f t="array" aca="1" ref="J215" ca="1">INDEX(PaymentMethods[Payment Method],RANDBETWEEN(1,5))</f>
        <v>Credit Card</v>
      </c>
    </row>
    <row r="216" spans="1:10" x14ac:dyDescent="0.3">
      <c r="A216" t="str">
        <f t="shared" si="11"/>
        <v>O0215</v>
      </c>
      <c r="B216" s="6">
        <f ca="1">Orders[[#This Row],[Discount%]]</f>
        <v>0.1</v>
      </c>
      <c r="C216" t="str" cm="1">
        <f t="array" aca="1" ref="C216" ca="1">INDEX(Customers[Customer ID],RANDBETWEEN(1,200))</f>
        <v>C050</v>
      </c>
      <c r="D216" t="str" cm="1">
        <f t="array" aca="1" ref="D216" ca="1">INDEX(Products[Product ID],RANDBETWEEN(1,50))</f>
        <v>P013</v>
      </c>
      <c r="E216" t="str" cm="1">
        <f t="array" aca="1" ref="E216" ca="1">INDEX(Warehouses[Warehouse ID],RANDBETWEEN(1,8))</f>
        <v>W006</v>
      </c>
      <c r="F216">
        <f t="shared" ca="1" si="9"/>
        <v>1</v>
      </c>
      <c r="G216">
        <f ca="1">_xlfn.XLOOKUP(Orders[[#This Row],[Product ID]],Products[Product ID],Products[Selling Price])</f>
        <v>25</v>
      </c>
      <c r="H216" s="6">
        <f t="shared" ca="1" si="10"/>
        <v>0.1</v>
      </c>
      <c r="I216">
        <f ca="1">Orders[[#This Row],[Quantity]]*Orders[[#This Row],[Unit Price]]*(1-Orders[[#This Row],[Discount%]])</f>
        <v>22.5</v>
      </c>
      <c r="J216" t="str" cm="1">
        <f t="array" aca="1" ref="J216" ca="1">INDEX(PaymentMethods[Payment Method],RANDBETWEEN(1,5))</f>
        <v>Net Banking</v>
      </c>
    </row>
    <row r="217" spans="1:10" x14ac:dyDescent="0.3">
      <c r="A217" t="str">
        <f t="shared" si="11"/>
        <v>O0216</v>
      </c>
      <c r="B217" s="6">
        <f ca="1">Orders[[#This Row],[Discount%]]</f>
        <v>0.02</v>
      </c>
      <c r="C217" t="str" cm="1">
        <f t="array" aca="1" ref="C217" ca="1">INDEX(Customers[Customer ID],RANDBETWEEN(1,200))</f>
        <v>C047</v>
      </c>
      <c r="D217" t="str" cm="1">
        <f t="array" aca="1" ref="D217" ca="1">INDEX(Products[Product ID],RANDBETWEEN(1,50))</f>
        <v>P035</v>
      </c>
      <c r="E217" t="str" cm="1">
        <f t="array" aca="1" ref="E217" ca="1">INDEX(Warehouses[Warehouse ID],RANDBETWEEN(1,8))</f>
        <v>W003</v>
      </c>
      <c r="F217">
        <f t="shared" ca="1" si="9"/>
        <v>5</v>
      </c>
      <c r="G217">
        <f ca="1">_xlfn.XLOOKUP(Orders[[#This Row],[Product ID]],Products[Product ID],Products[Selling Price])</f>
        <v>300</v>
      </c>
      <c r="H217" s="6">
        <f t="shared" ca="1" si="10"/>
        <v>0.02</v>
      </c>
      <c r="I217">
        <f ca="1">Orders[[#This Row],[Quantity]]*Orders[[#This Row],[Unit Price]]*(1-Orders[[#This Row],[Discount%]])</f>
        <v>1470</v>
      </c>
      <c r="J217" t="str" cm="1">
        <f t="array" aca="1" ref="J217" ca="1">INDEX(PaymentMethods[Payment Method],RANDBETWEEN(1,5))</f>
        <v>UPI</v>
      </c>
    </row>
    <row r="218" spans="1:10" x14ac:dyDescent="0.3">
      <c r="A218" t="str">
        <f t="shared" si="11"/>
        <v>O0217</v>
      </c>
      <c r="B218" s="6">
        <f ca="1">Orders[[#This Row],[Discount%]]</f>
        <v>0.03</v>
      </c>
      <c r="C218" t="str" cm="1">
        <f t="array" aca="1" ref="C218" ca="1">INDEX(Customers[Customer ID],RANDBETWEEN(1,200))</f>
        <v>C168</v>
      </c>
      <c r="D218" t="str" cm="1">
        <f t="array" aca="1" ref="D218" ca="1">INDEX(Products[Product ID],RANDBETWEEN(1,50))</f>
        <v>P031</v>
      </c>
      <c r="E218" t="str" cm="1">
        <f t="array" aca="1" ref="E218" ca="1">INDEX(Warehouses[Warehouse ID],RANDBETWEEN(1,8))</f>
        <v>W003</v>
      </c>
      <c r="F218">
        <f t="shared" ca="1" si="9"/>
        <v>10</v>
      </c>
      <c r="G218">
        <f ca="1">_xlfn.XLOOKUP(Orders[[#This Row],[Product ID]],Products[Product ID],Products[Selling Price])</f>
        <v>90</v>
      </c>
      <c r="H218" s="6">
        <f t="shared" ca="1" si="10"/>
        <v>0.03</v>
      </c>
      <c r="I218">
        <f ca="1">Orders[[#This Row],[Quantity]]*Orders[[#This Row],[Unit Price]]*(1-Orders[[#This Row],[Discount%]])</f>
        <v>873</v>
      </c>
      <c r="J218" t="str" cm="1">
        <f t="array" aca="1" ref="J218" ca="1">INDEX(PaymentMethods[Payment Method],RANDBETWEEN(1,5))</f>
        <v>UPI</v>
      </c>
    </row>
    <row r="219" spans="1:10" x14ac:dyDescent="0.3">
      <c r="A219" t="str">
        <f t="shared" si="11"/>
        <v>O0218</v>
      </c>
      <c r="B219" s="6">
        <f ca="1">Orders[[#This Row],[Discount%]]</f>
        <v>0.19</v>
      </c>
      <c r="C219" t="str" cm="1">
        <f t="array" aca="1" ref="C219" ca="1">INDEX(Customers[Customer ID],RANDBETWEEN(1,200))</f>
        <v>C137</v>
      </c>
      <c r="D219" t="str" cm="1">
        <f t="array" aca="1" ref="D219" ca="1">INDEX(Products[Product ID],RANDBETWEEN(1,50))</f>
        <v>P005</v>
      </c>
      <c r="E219" t="str" cm="1">
        <f t="array" aca="1" ref="E219" ca="1">INDEX(Warehouses[Warehouse ID],RANDBETWEEN(1,8))</f>
        <v>W002</v>
      </c>
      <c r="F219">
        <f t="shared" ca="1" si="9"/>
        <v>10</v>
      </c>
      <c r="G219">
        <f ca="1">_xlfn.XLOOKUP(Orders[[#This Row],[Product ID]],Products[Product ID],Products[Selling Price])</f>
        <v>10500</v>
      </c>
      <c r="H219" s="6">
        <f t="shared" ca="1" si="10"/>
        <v>0.19</v>
      </c>
      <c r="I219">
        <f ca="1">Orders[[#This Row],[Quantity]]*Orders[[#This Row],[Unit Price]]*(1-Orders[[#This Row],[Discount%]])</f>
        <v>85050</v>
      </c>
      <c r="J219" t="str" cm="1">
        <f t="array" aca="1" ref="J219" ca="1">INDEX(PaymentMethods[Payment Method],RANDBETWEEN(1,5))</f>
        <v>Cash</v>
      </c>
    </row>
    <row r="220" spans="1:10" x14ac:dyDescent="0.3">
      <c r="A220" t="str">
        <f t="shared" si="11"/>
        <v>O0219</v>
      </c>
      <c r="B220" s="6">
        <f ca="1">Orders[[#This Row],[Discount%]]</f>
        <v>0.15</v>
      </c>
      <c r="C220" t="str" cm="1">
        <f t="array" aca="1" ref="C220" ca="1">INDEX(Customers[Customer ID],RANDBETWEEN(1,200))</f>
        <v>C097</v>
      </c>
      <c r="D220" t="str" cm="1">
        <f t="array" aca="1" ref="D220" ca="1">INDEX(Products[Product ID],RANDBETWEEN(1,50))</f>
        <v>P030</v>
      </c>
      <c r="E220" t="str" cm="1">
        <f t="array" aca="1" ref="E220" ca="1">INDEX(Warehouses[Warehouse ID],RANDBETWEEN(1,8))</f>
        <v>W004</v>
      </c>
      <c r="F220">
        <f t="shared" ca="1" si="9"/>
        <v>4</v>
      </c>
      <c r="G220">
        <f ca="1">_xlfn.XLOOKUP(Orders[[#This Row],[Product ID]],Products[Product ID],Products[Selling Price])</f>
        <v>4800</v>
      </c>
      <c r="H220" s="6">
        <f t="shared" ca="1" si="10"/>
        <v>0.15</v>
      </c>
      <c r="I220">
        <f ca="1">Orders[[#This Row],[Quantity]]*Orders[[#This Row],[Unit Price]]*(1-Orders[[#This Row],[Discount%]])</f>
        <v>16320</v>
      </c>
      <c r="J220" t="str" cm="1">
        <f t="array" aca="1" ref="J220" ca="1">INDEX(PaymentMethods[Payment Method],RANDBETWEEN(1,5))</f>
        <v>Debit Card</v>
      </c>
    </row>
    <row r="221" spans="1:10" x14ac:dyDescent="0.3">
      <c r="A221" t="str">
        <f t="shared" si="11"/>
        <v>O0220</v>
      </c>
      <c r="B221" s="6">
        <f ca="1">Orders[[#This Row],[Discount%]]</f>
        <v>0.05</v>
      </c>
      <c r="C221" t="str" cm="1">
        <f t="array" aca="1" ref="C221" ca="1">INDEX(Customers[Customer ID],RANDBETWEEN(1,200))</f>
        <v>C157</v>
      </c>
      <c r="D221" t="str" cm="1">
        <f t="array" aca="1" ref="D221" ca="1">INDEX(Products[Product ID],RANDBETWEEN(1,50))</f>
        <v>P048</v>
      </c>
      <c r="E221" t="str" cm="1">
        <f t="array" aca="1" ref="E221" ca="1">INDEX(Warehouses[Warehouse ID],RANDBETWEEN(1,8))</f>
        <v>W007</v>
      </c>
      <c r="F221">
        <f t="shared" ca="1" si="9"/>
        <v>7</v>
      </c>
      <c r="G221">
        <f ca="1">_xlfn.XLOOKUP(Orders[[#This Row],[Product ID]],Products[Product ID],Products[Selling Price])</f>
        <v>1200</v>
      </c>
      <c r="H221" s="6">
        <f t="shared" ca="1" si="10"/>
        <v>0.05</v>
      </c>
      <c r="I221">
        <f ca="1">Orders[[#This Row],[Quantity]]*Orders[[#This Row],[Unit Price]]*(1-Orders[[#This Row],[Discount%]])</f>
        <v>7980</v>
      </c>
      <c r="J221" t="str" cm="1">
        <f t="array" aca="1" ref="J221" ca="1">INDEX(PaymentMethods[Payment Method],RANDBETWEEN(1,5))</f>
        <v>Credit Card</v>
      </c>
    </row>
    <row r="222" spans="1:10" x14ac:dyDescent="0.3">
      <c r="A222" t="str">
        <f t="shared" si="11"/>
        <v>O0221</v>
      </c>
      <c r="B222" s="6">
        <f ca="1">Orders[[#This Row],[Discount%]]</f>
        <v>0.1</v>
      </c>
      <c r="C222" t="str" cm="1">
        <f t="array" aca="1" ref="C222" ca="1">INDEX(Customers[Customer ID],RANDBETWEEN(1,200))</f>
        <v>C166</v>
      </c>
      <c r="D222" t="str" cm="1">
        <f t="array" aca="1" ref="D222" ca="1">INDEX(Products[Product ID],RANDBETWEEN(1,50))</f>
        <v>P021</v>
      </c>
      <c r="E222" t="str" cm="1">
        <f t="array" aca="1" ref="E222" ca="1">INDEX(Warehouses[Warehouse ID],RANDBETWEEN(1,8))</f>
        <v>W003</v>
      </c>
      <c r="F222">
        <f t="shared" ca="1" si="9"/>
        <v>5</v>
      </c>
      <c r="G222">
        <f ca="1">_xlfn.XLOOKUP(Orders[[#This Row],[Product ID]],Products[Product ID],Products[Selling Price])</f>
        <v>22000</v>
      </c>
      <c r="H222" s="6">
        <f t="shared" ca="1" si="10"/>
        <v>0.1</v>
      </c>
      <c r="I222">
        <f ca="1">Orders[[#This Row],[Quantity]]*Orders[[#This Row],[Unit Price]]*(1-Orders[[#This Row],[Discount%]])</f>
        <v>99000</v>
      </c>
      <c r="J222" t="str" cm="1">
        <f t="array" aca="1" ref="J222" ca="1">INDEX(PaymentMethods[Payment Method],RANDBETWEEN(1,5))</f>
        <v>Net Banking</v>
      </c>
    </row>
    <row r="223" spans="1:10" x14ac:dyDescent="0.3">
      <c r="A223" t="str">
        <f t="shared" si="11"/>
        <v>O0222</v>
      </c>
      <c r="B223" s="6">
        <f ca="1">Orders[[#This Row],[Discount%]]</f>
        <v>0.11</v>
      </c>
      <c r="C223" t="str" cm="1">
        <f t="array" aca="1" ref="C223" ca="1">INDEX(Customers[Customer ID],RANDBETWEEN(1,200))</f>
        <v>C164</v>
      </c>
      <c r="D223" t="str" cm="1">
        <f t="array" aca="1" ref="D223" ca="1">INDEX(Products[Product ID],RANDBETWEEN(1,50))</f>
        <v>P031</v>
      </c>
      <c r="E223" t="str" cm="1">
        <f t="array" aca="1" ref="E223" ca="1">INDEX(Warehouses[Warehouse ID],RANDBETWEEN(1,8))</f>
        <v>W003</v>
      </c>
      <c r="F223">
        <f t="shared" ca="1" si="9"/>
        <v>7</v>
      </c>
      <c r="G223">
        <f ca="1">_xlfn.XLOOKUP(Orders[[#This Row],[Product ID]],Products[Product ID],Products[Selling Price])</f>
        <v>90</v>
      </c>
      <c r="H223" s="6">
        <f t="shared" ca="1" si="10"/>
        <v>0.11</v>
      </c>
      <c r="I223">
        <f ca="1">Orders[[#This Row],[Quantity]]*Orders[[#This Row],[Unit Price]]*(1-Orders[[#This Row],[Discount%]])</f>
        <v>560.70000000000005</v>
      </c>
      <c r="J223" t="str" cm="1">
        <f t="array" aca="1" ref="J223" ca="1">INDEX(PaymentMethods[Payment Method],RANDBETWEEN(1,5))</f>
        <v>Net Banking</v>
      </c>
    </row>
    <row r="224" spans="1:10" x14ac:dyDescent="0.3">
      <c r="A224" t="str">
        <f t="shared" si="11"/>
        <v>O0223</v>
      </c>
      <c r="B224" s="6">
        <f ca="1">Orders[[#This Row],[Discount%]]</f>
        <v>0.18</v>
      </c>
      <c r="C224" t="str" cm="1">
        <f t="array" aca="1" ref="C224" ca="1">INDEX(Customers[Customer ID],RANDBETWEEN(1,200))</f>
        <v>C033</v>
      </c>
      <c r="D224" t="str" cm="1">
        <f t="array" aca="1" ref="D224" ca="1">INDEX(Products[Product ID],RANDBETWEEN(1,50))</f>
        <v>P037</v>
      </c>
      <c r="E224" t="str" cm="1">
        <f t="array" aca="1" ref="E224" ca="1">INDEX(Warehouses[Warehouse ID],RANDBETWEEN(1,8))</f>
        <v>W002</v>
      </c>
      <c r="F224">
        <f t="shared" ca="1" si="9"/>
        <v>5</v>
      </c>
      <c r="G224">
        <f ca="1">_xlfn.XLOOKUP(Orders[[#This Row],[Product ID]],Products[Product ID],Products[Selling Price])</f>
        <v>550</v>
      </c>
      <c r="H224" s="6">
        <f t="shared" ca="1" si="10"/>
        <v>0.18</v>
      </c>
      <c r="I224">
        <f ca="1">Orders[[#This Row],[Quantity]]*Orders[[#This Row],[Unit Price]]*(1-Orders[[#This Row],[Discount%]])</f>
        <v>2255</v>
      </c>
      <c r="J224" t="str" cm="1">
        <f t="array" aca="1" ref="J224" ca="1">INDEX(PaymentMethods[Payment Method],RANDBETWEEN(1,5))</f>
        <v>Cash</v>
      </c>
    </row>
    <row r="225" spans="1:10" x14ac:dyDescent="0.3">
      <c r="A225" t="str">
        <f t="shared" si="11"/>
        <v>O0224</v>
      </c>
      <c r="B225" s="6">
        <f ca="1">Orders[[#This Row],[Discount%]]</f>
        <v>7.0000000000000007E-2</v>
      </c>
      <c r="C225" t="str" cm="1">
        <f t="array" aca="1" ref="C225" ca="1">INDEX(Customers[Customer ID],RANDBETWEEN(1,200))</f>
        <v>C066</v>
      </c>
      <c r="D225" t="str" cm="1">
        <f t="array" aca="1" ref="D225" ca="1">INDEX(Products[Product ID],RANDBETWEEN(1,50))</f>
        <v>P038</v>
      </c>
      <c r="E225" t="str" cm="1">
        <f t="array" aca="1" ref="E225" ca="1">INDEX(Warehouses[Warehouse ID],RANDBETWEEN(1,8))</f>
        <v>W003</v>
      </c>
      <c r="F225">
        <f t="shared" ca="1" si="9"/>
        <v>8</v>
      </c>
      <c r="G225">
        <f ca="1">_xlfn.XLOOKUP(Orders[[#This Row],[Product ID]],Products[Product ID],Products[Selling Price])</f>
        <v>1500</v>
      </c>
      <c r="H225" s="6">
        <f t="shared" ca="1" si="10"/>
        <v>7.0000000000000007E-2</v>
      </c>
      <c r="I225">
        <f ca="1">Orders[[#This Row],[Quantity]]*Orders[[#This Row],[Unit Price]]*(1-Orders[[#This Row],[Discount%]])</f>
        <v>11160</v>
      </c>
      <c r="J225" t="str" cm="1">
        <f t="array" aca="1" ref="J225" ca="1">INDEX(PaymentMethods[Payment Method],RANDBETWEEN(1,5))</f>
        <v>Cash</v>
      </c>
    </row>
    <row r="226" spans="1:10" x14ac:dyDescent="0.3">
      <c r="A226" t="str">
        <f t="shared" si="11"/>
        <v>O0225</v>
      </c>
      <c r="B226" s="6">
        <f ca="1">Orders[[#This Row],[Discount%]]</f>
        <v>0.1</v>
      </c>
      <c r="C226" t="str" cm="1">
        <f t="array" aca="1" ref="C226" ca="1">INDEX(Customers[Customer ID],RANDBETWEEN(1,200))</f>
        <v>C086</v>
      </c>
      <c r="D226" t="str" cm="1">
        <f t="array" aca="1" ref="D226" ca="1">INDEX(Products[Product ID],RANDBETWEEN(1,50))</f>
        <v>P034</v>
      </c>
      <c r="E226" t="str" cm="1">
        <f t="array" aca="1" ref="E226" ca="1">INDEX(Warehouses[Warehouse ID],RANDBETWEEN(1,8))</f>
        <v>W006</v>
      </c>
      <c r="F226">
        <f t="shared" ca="1" si="9"/>
        <v>5</v>
      </c>
      <c r="G226">
        <f ca="1">_xlfn.XLOOKUP(Orders[[#This Row],[Product ID]],Products[Product ID],Products[Selling Price])</f>
        <v>120</v>
      </c>
      <c r="H226" s="6">
        <f t="shared" ca="1" si="10"/>
        <v>0.1</v>
      </c>
      <c r="I226">
        <f ca="1">Orders[[#This Row],[Quantity]]*Orders[[#This Row],[Unit Price]]*(1-Orders[[#This Row],[Discount%]])</f>
        <v>540</v>
      </c>
      <c r="J226" t="str" cm="1">
        <f t="array" aca="1" ref="J226" ca="1">INDEX(PaymentMethods[Payment Method],RANDBETWEEN(1,5))</f>
        <v>UPI</v>
      </c>
    </row>
    <row r="227" spans="1:10" x14ac:dyDescent="0.3">
      <c r="A227" t="str">
        <f t="shared" si="11"/>
        <v>O0226</v>
      </c>
      <c r="B227" s="6">
        <f ca="1">Orders[[#This Row],[Discount%]]</f>
        <v>0.04</v>
      </c>
      <c r="C227" t="str" cm="1">
        <f t="array" aca="1" ref="C227" ca="1">INDEX(Customers[Customer ID],RANDBETWEEN(1,200))</f>
        <v>C029</v>
      </c>
      <c r="D227" t="str" cm="1">
        <f t="array" aca="1" ref="D227" ca="1">INDEX(Products[Product ID],RANDBETWEEN(1,50))</f>
        <v>P050</v>
      </c>
      <c r="E227" t="str" cm="1">
        <f t="array" aca="1" ref="E227" ca="1">INDEX(Warehouses[Warehouse ID],RANDBETWEEN(1,8))</f>
        <v>W001</v>
      </c>
      <c r="F227">
        <f t="shared" ca="1" si="9"/>
        <v>6</v>
      </c>
      <c r="G227">
        <f ca="1">_xlfn.XLOOKUP(Orders[[#This Row],[Product ID]],Products[Product ID],Products[Selling Price])</f>
        <v>12000</v>
      </c>
      <c r="H227" s="6">
        <f t="shared" ca="1" si="10"/>
        <v>0.04</v>
      </c>
      <c r="I227">
        <f ca="1">Orders[[#This Row],[Quantity]]*Orders[[#This Row],[Unit Price]]*(1-Orders[[#This Row],[Discount%]])</f>
        <v>69120</v>
      </c>
      <c r="J227" t="str" cm="1">
        <f t="array" aca="1" ref="J227" ca="1">INDEX(PaymentMethods[Payment Method],RANDBETWEEN(1,5))</f>
        <v>Net Banking</v>
      </c>
    </row>
    <row r="228" spans="1:10" x14ac:dyDescent="0.3">
      <c r="A228" t="str">
        <f t="shared" si="11"/>
        <v>O0227</v>
      </c>
      <c r="B228" s="6">
        <f ca="1">Orders[[#This Row],[Discount%]]</f>
        <v>0.1</v>
      </c>
      <c r="C228" t="str" cm="1">
        <f t="array" aca="1" ref="C228" ca="1">INDEX(Customers[Customer ID],RANDBETWEEN(1,200))</f>
        <v>C017</v>
      </c>
      <c r="D228" t="str" cm="1">
        <f t="array" aca="1" ref="D228" ca="1">INDEX(Products[Product ID],RANDBETWEEN(1,50))</f>
        <v>P019</v>
      </c>
      <c r="E228" t="str" cm="1">
        <f t="array" aca="1" ref="E228" ca="1">INDEX(Warehouses[Warehouse ID],RANDBETWEEN(1,8))</f>
        <v>W008</v>
      </c>
      <c r="F228">
        <f t="shared" ca="1" si="9"/>
        <v>6</v>
      </c>
      <c r="G228">
        <f ca="1">_xlfn.XLOOKUP(Orders[[#This Row],[Product ID]],Products[Product ID],Products[Selling Price])</f>
        <v>950</v>
      </c>
      <c r="H228" s="6">
        <f t="shared" ca="1" si="10"/>
        <v>0.1</v>
      </c>
      <c r="I228">
        <f ca="1">Orders[[#This Row],[Quantity]]*Orders[[#This Row],[Unit Price]]*(1-Orders[[#This Row],[Discount%]])</f>
        <v>5130</v>
      </c>
      <c r="J228" t="str" cm="1">
        <f t="array" aca="1" ref="J228" ca="1">INDEX(PaymentMethods[Payment Method],RANDBETWEEN(1,5))</f>
        <v>Debit Card</v>
      </c>
    </row>
    <row r="229" spans="1:10" x14ac:dyDescent="0.3">
      <c r="A229" t="str">
        <f t="shared" si="11"/>
        <v>O0228</v>
      </c>
      <c r="B229" s="6">
        <f ca="1">Orders[[#This Row],[Discount%]]</f>
        <v>0.19</v>
      </c>
      <c r="C229" t="str" cm="1">
        <f t="array" aca="1" ref="C229" ca="1">INDEX(Customers[Customer ID],RANDBETWEEN(1,200))</f>
        <v>C067</v>
      </c>
      <c r="D229" t="str" cm="1">
        <f t="array" aca="1" ref="D229" ca="1">INDEX(Products[Product ID],RANDBETWEEN(1,50))</f>
        <v>P043</v>
      </c>
      <c r="E229" t="str" cm="1">
        <f t="array" aca="1" ref="E229" ca="1">INDEX(Warehouses[Warehouse ID],RANDBETWEEN(1,8))</f>
        <v>W006</v>
      </c>
      <c r="F229">
        <f t="shared" ca="1" si="9"/>
        <v>7</v>
      </c>
      <c r="G229">
        <f ca="1">_xlfn.XLOOKUP(Orders[[#This Row],[Product ID]],Products[Product ID],Products[Selling Price])</f>
        <v>24500</v>
      </c>
      <c r="H229" s="6">
        <f t="shared" ca="1" si="10"/>
        <v>0.19</v>
      </c>
      <c r="I229">
        <f ca="1">Orders[[#This Row],[Quantity]]*Orders[[#This Row],[Unit Price]]*(1-Orders[[#This Row],[Discount%]])</f>
        <v>138915</v>
      </c>
      <c r="J229" t="str" cm="1">
        <f t="array" aca="1" ref="J229" ca="1">INDEX(PaymentMethods[Payment Method],RANDBETWEEN(1,5))</f>
        <v>Cash</v>
      </c>
    </row>
    <row r="230" spans="1:10" x14ac:dyDescent="0.3">
      <c r="A230" t="str">
        <f t="shared" si="11"/>
        <v>O0229</v>
      </c>
      <c r="B230" s="6">
        <f ca="1">Orders[[#This Row],[Discount%]]</f>
        <v>0.02</v>
      </c>
      <c r="C230" t="str" cm="1">
        <f t="array" aca="1" ref="C230" ca="1">INDEX(Customers[Customer ID],RANDBETWEEN(1,200))</f>
        <v>C031</v>
      </c>
      <c r="D230" t="str" cm="1">
        <f t="array" aca="1" ref="D230" ca="1">INDEX(Products[Product ID],RANDBETWEEN(1,50))</f>
        <v>P009</v>
      </c>
      <c r="E230" t="str" cm="1">
        <f t="array" aca="1" ref="E230" ca="1">INDEX(Warehouses[Warehouse ID],RANDBETWEEN(1,8))</f>
        <v>W003</v>
      </c>
      <c r="F230">
        <f t="shared" ca="1" si="9"/>
        <v>7</v>
      </c>
      <c r="G230">
        <f ca="1">_xlfn.XLOOKUP(Orders[[#This Row],[Product ID]],Products[Product ID],Products[Selling Price])</f>
        <v>20000</v>
      </c>
      <c r="H230" s="6">
        <f t="shared" ca="1" si="10"/>
        <v>0.02</v>
      </c>
      <c r="I230">
        <f ca="1">Orders[[#This Row],[Quantity]]*Orders[[#This Row],[Unit Price]]*(1-Orders[[#This Row],[Discount%]])</f>
        <v>137200</v>
      </c>
      <c r="J230" t="str" cm="1">
        <f t="array" aca="1" ref="J230" ca="1">INDEX(PaymentMethods[Payment Method],RANDBETWEEN(1,5))</f>
        <v>Debit Card</v>
      </c>
    </row>
    <row r="231" spans="1:10" x14ac:dyDescent="0.3">
      <c r="A231" t="str">
        <f t="shared" si="11"/>
        <v>O0230</v>
      </c>
      <c r="B231" s="6">
        <f ca="1">Orders[[#This Row],[Discount%]]</f>
        <v>0.11</v>
      </c>
      <c r="C231" t="str" cm="1">
        <f t="array" aca="1" ref="C231" ca="1">INDEX(Customers[Customer ID],RANDBETWEEN(1,200))</f>
        <v>C128</v>
      </c>
      <c r="D231" t="str" cm="1">
        <f t="array" aca="1" ref="D231" ca="1">INDEX(Products[Product ID],RANDBETWEEN(1,50))</f>
        <v>P028</v>
      </c>
      <c r="E231" t="str" cm="1">
        <f t="array" aca="1" ref="E231" ca="1">INDEX(Warehouses[Warehouse ID],RANDBETWEEN(1,8))</f>
        <v>W005</v>
      </c>
      <c r="F231">
        <f t="shared" ca="1" si="9"/>
        <v>2</v>
      </c>
      <c r="G231">
        <f ca="1">_xlfn.XLOOKUP(Orders[[#This Row],[Product ID]],Products[Product ID],Products[Selling Price])</f>
        <v>16500</v>
      </c>
      <c r="H231" s="6">
        <f t="shared" ca="1" si="10"/>
        <v>0.11</v>
      </c>
      <c r="I231">
        <f ca="1">Orders[[#This Row],[Quantity]]*Orders[[#This Row],[Unit Price]]*(1-Orders[[#This Row],[Discount%]])</f>
        <v>29370</v>
      </c>
      <c r="J231" t="str" cm="1">
        <f t="array" aca="1" ref="J231" ca="1">INDEX(PaymentMethods[Payment Method],RANDBETWEEN(1,5))</f>
        <v>Net Banking</v>
      </c>
    </row>
    <row r="232" spans="1:10" x14ac:dyDescent="0.3">
      <c r="A232" t="str">
        <f t="shared" si="11"/>
        <v>O0231</v>
      </c>
      <c r="B232" s="6">
        <f ca="1">Orders[[#This Row],[Discount%]]</f>
        <v>0</v>
      </c>
      <c r="C232" t="str" cm="1">
        <f t="array" aca="1" ref="C232" ca="1">INDEX(Customers[Customer ID],RANDBETWEEN(1,200))</f>
        <v>C182</v>
      </c>
      <c r="D232" t="str" cm="1">
        <f t="array" aca="1" ref="D232" ca="1">INDEX(Products[Product ID],RANDBETWEEN(1,50))</f>
        <v>P026</v>
      </c>
      <c r="E232" t="str" cm="1">
        <f t="array" aca="1" ref="E232" ca="1">INDEX(Warehouses[Warehouse ID],RANDBETWEEN(1,8))</f>
        <v>W003</v>
      </c>
      <c r="F232">
        <f t="shared" ca="1" si="9"/>
        <v>2</v>
      </c>
      <c r="G232">
        <f ca="1">_xlfn.XLOOKUP(Orders[[#This Row],[Product ID]],Products[Product ID],Products[Selling Price])</f>
        <v>650</v>
      </c>
      <c r="H232" s="6">
        <f t="shared" ca="1" si="10"/>
        <v>0</v>
      </c>
      <c r="I232">
        <f ca="1">Orders[[#This Row],[Quantity]]*Orders[[#This Row],[Unit Price]]*(1-Orders[[#This Row],[Discount%]])</f>
        <v>1300</v>
      </c>
      <c r="J232" t="str" cm="1">
        <f t="array" aca="1" ref="J232" ca="1">INDEX(PaymentMethods[Payment Method],RANDBETWEEN(1,5))</f>
        <v>Credit Card</v>
      </c>
    </row>
    <row r="233" spans="1:10" x14ac:dyDescent="0.3">
      <c r="A233" t="str">
        <f t="shared" si="11"/>
        <v>O0232</v>
      </c>
      <c r="B233" s="6">
        <f ca="1">Orders[[#This Row],[Discount%]]</f>
        <v>0.14000000000000001</v>
      </c>
      <c r="C233" t="str" cm="1">
        <f t="array" aca="1" ref="C233" ca="1">INDEX(Customers[Customer ID],RANDBETWEEN(1,200))</f>
        <v>C110</v>
      </c>
      <c r="D233" t="str" cm="1">
        <f t="array" aca="1" ref="D233" ca="1">INDEX(Products[Product ID],RANDBETWEEN(1,50))</f>
        <v>P025</v>
      </c>
      <c r="E233" t="str" cm="1">
        <f t="array" aca="1" ref="E233" ca="1">INDEX(Warehouses[Warehouse ID],RANDBETWEEN(1,8))</f>
        <v>W005</v>
      </c>
      <c r="F233">
        <f t="shared" ca="1" si="9"/>
        <v>7</v>
      </c>
      <c r="G233">
        <f ca="1">_xlfn.XLOOKUP(Orders[[#This Row],[Product ID]],Products[Product ID],Products[Selling Price])</f>
        <v>1800</v>
      </c>
      <c r="H233" s="6">
        <f t="shared" ca="1" si="10"/>
        <v>0.14000000000000001</v>
      </c>
      <c r="I233">
        <f ca="1">Orders[[#This Row],[Quantity]]*Orders[[#This Row],[Unit Price]]*(1-Orders[[#This Row],[Discount%]])</f>
        <v>10836</v>
      </c>
      <c r="J233" t="str" cm="1">
        <f t="array" aca="1" ref="J233" ca="1">INDEX(PaymentMethods[Payment Method],RANDBETWEEN(1,5))</f>
        <v>Debit Card</v>
      </c>
    </row>
    <row r="234" spans="1:10" x14ac:dyDescent="0.3">
      <c r="A234" t="str">
        <f t="shared" si="11"/>
        <v>O0233</v>
      </c>
      <c r="B234" s="6">
        <f ca="1">Orders[[#This Row],[Discount%]]</f>
        <v>0.01</v>
      </c>
      <c r="C234" t="str" cm="1">
        <f t="array" aca="1" ref="C234" ca="1">INDEX(Customers[Customer ID],RANDBETWEEN(1,200))</f>
        <v>C023</v>
      </c>
      <c r="D234" t="str" cm="1">
        <f t="array" aca="1" ref="D234" ca="1">INDEX(Products[Product ID],RANDBETWEEN(1,50))</f>
        <v>P042</v>
      </c>
      <c r="E234" t="str" cm="1">
        <f t="array" aca="1" ref="E234" ca="1">INDEX(Warehouses[Warehouse ID],RANDBETWEEN(1,8))</f>
        <v>W008</v>
      </c>
      <c r="F234">
        <f t="shared" ca="1" si="9"/>
        <v>9</v>
      </c>
      <c r="G234">
        <f ca="1">_xlfn.XLOOKUP(Orders[[#This Row],[Product ID]],Products[Product ID],Products[Selling Price])</f>
        <v>29000</v>
      </c>
      <c r="H234" s="6">
        <f t="shared" ca="1" si="10"/>
        <v>0.01</v>
      </c>
      <c r="I234">
        <f ca="1">Orders[[#This Row],[Quantity]]*Orders[[#This Row],[Unit Price]]*(1-Orders[[#This Row],[Discount%]])</f>
        <v>258390</v>
      </c>
      <c r="J234" t="str" cm="1">
        <f t="array" aca="1" ref="J234" ca="1">INDEX(PaymentMethods[Payment Method],RANDBETWEEN(1,5))</f>
        <v>Cash</v>
      </c>
    </row>
    <row r="235" spans="1:10" x14ac:dyDescent="0.3">
      <c r="A235" t="str">
        <f t="shared" si="11"/>
        <v>O0234</v>
      </c>
      <c r="B235" s="6">
        <f ca="1">Orders[[#This Row],[Discount%]]</f>
        <v>0.17</v>
      </c>
      <c r="C235" t="str" cm="1">
        <f t="array" aca="1" ref="C235" ca="1">INDEX(Customers[Customer ID],RANDBETWEEN(1,200))</f>
        <v>C002</v>
      </c>
      <c r="D235" t="str" cm="1">
        <f t="array" aca="1" ref="D235" ca="1">INDEX(Products[Product ID],RANDBETWEEN(1,50))</f>
        <v>P034</v>
      </c>
      <c r="E235" t="str" cm="1">
        <f t="array" aca="1" ref="E235" ca="1">INDEX(Warehouses[Warehouse ID],RANDBETWEEN(1,8))</f>
        <v>W007</v>
      </c>
      <c r="F235">
        <f t="shared" ca="1" si="9"/>
        <v>5</v>
      </c>
      <c r="G235">
        <f ca="1">_xlfn.XLOOKUP(Orders[[#This Row],[Product ID]],Products[Product ID],Products[Selling Price])</f>
        <v>120</v>
      </c>
      <c r="H235" s="6">
        <f t="shared" ca="1" si="10"/>
        <v>0.17</v>
      </c>
      <c r="I235">
        <f ca="1">Orders[[#This Row],[Quantity]]*Orders[[#This Row],[Unit Price]]*(1-Orders[[#This Row],[Discount%]])</f>
        <v>498</v>
      </c>
      <c r="J235" t="str" cm="1">
        <f t="array" aca="1" ref="J235" ca="1">INDEX(PaymentMethods[Payment Method],RANDBETWEEN(1,5))</f>
        <v>Debit Card</v>
      </c>
    </row>
    <row r="236" spans="1:10" x14ac:dyDescent="0.3">
      <c r="A236" t="str">
        <f t="shared" si="11"/>
        <v>O0235</v>
      </c>
      <c r="B236" s="6">
        <f ca="1">Orders[[#This Row],[Discount%]]</f>
        <v>0.06</v>
      </c>
      <c r="C236" t="str" cm="1">
        <f t="array" aca="1" ref="C236" ca="1">INDEX(Customers[Customer ID],RANDBETWEEN(1,200))</f>
        <v>C037</v>
      </c>
      <c r="D236" t="str" cm="1">
        <f t="array" aca="1" ref="D236" ca="1">INDEX(Products[Product ID],RANDBETWEEN(1,50))</f>
        <v>P037</v>
      </c>
      <c r="E236" t="str" cm="1">
        <f t="array" aca="1" ref="E236" ca="1">INDEX(Warehouses[Warehouse ID],RANDBETWEEN(1,8))</f>
        <v>W005</v>
      </c>
      <c r="F236">
        <f t="shared" ca="1" si="9"/>
        <v>3</v>
      </c>
      <c r="G236">
        <f ca="1">_xlfn.XLOOKUP(Orders[[#This Row],[Product ID]],Products[Product ID],Products[Selling Price])</f>
        <v>550</v>
      </c>
      <c r="H236" s="6">
        <f t="shared" ca="1" si="10"/>
        <v>0.06</v>
      </c>
      <c r="I236">
        <f ca="1">Orders[[#This Row],[Quantity]]*Orders[[#This Row],[Unit Price]]*(1-Orders[[#This Row],[Discount%]])</f>
        <v>1551</v>
      </c>
      <c r="J236" t="str" cm="1">
        <f t="array" aca="1" ref="J236" ca="1">INDEX(PaymentMethods[Payment Method],RANDBETWEEN(1,5))</f>
        <v>Net Banking</v>
      </c>
    </row>
    <row r="237" spans="1:10" x14ac:dyDescent="0.3">
      <c r="A237" t="str">
        <f t="shared" si="11"/>
        <v>O0236</v>
      </c>
      <c r="B237" s="6">
        <f ca="1">Orders[[#This Row],[Discount%]]</f>
        <v>0.12</v>
      </c>
      <c r="C237" t="str" cm="1">
        <f t="array" aca="1" ref="C237" ca="1">INDEX(Customers[Customer ID],RANDBETWEEN(1,200))</f>
        <v>C077</v>
      </c>
      <c r="D237" t="str" cm="1">
        <f t="array" aca="1" ref="D237" ca="1">INDEX(Products[Product ID],RANDBETWEEN(1,50))</f>
        <v>P010</v>
      </c>
      <c r="E237" t="str" cm="1">
        <f t="array" aca="1" ref="E237" ca="1">INDEX(Warehouses[Warehouse ID],RANDBETWEEN(1,8))</f>
        <v>W002</v>
      </c>
      <c r="F237">
        <f t="shared" ca="1" si="9"/>
        <v>8</v>
      </c>
      <c r="G237">
        <f ca="1">_xlfn.XLOOKUP(Orders[[#This Row],[Product ID]],Products[Product ID],Products[Selling Price])</f>
        <v>250</v>
      </c>
      <c r="H237" s="6">
        <f t="shared" ca="1" si="10"/>
        <v>0.12</v>
      </c>
      <c r="I237">
        <f ca="1">Orders[[#This Row],[Quantity]]*Orders[[#This Row],[Unit Price]]*(1-Orders[[#This Row],[Discount%]])</f>
        <v>1760</v>
      </c>
      <c r="J237" t="str" cm="1">
        <f t="array" aca="1" ref="J237" ca="1">INDEX(PaymentMethods[Payment Method],RANDBETWEEN(1,5))</f>
        <v>UPI</v>
      </c>
    </row>
    <row r="238" spans="1:10" x14ac:dyDescent="0.3">
      <c r="A238" t="str">
        <f t="shared" si="11"/>
        <v>O0237</v>
      </c>
      <c r="B238" s="6">
        <f ca="1">Orders[[#This Row],[Discount%]]</f>
        <v>0.06</v>
      </c>
      <c r="C238" t="str" cm="1">
        <f t="array" aca="1" ref="C238" ca="1">INDEX(Customers[Customer ID],RANDBETWEEN(1,200))</f>
        <v>C169</v>
      </c>
      <c r="D238" t="str" cm="1">
        <f t="array" aca="1" ref="D238" ca="1">INDEX(Products[Product ID],RANDBETWEEN(1,50))</f>
        <v>P048</v>
      </c>
      <c r="E238" t="str" cm="1">
        <f t="array" aca="1" ref="E238" ca="1">INDEX(Warehouses[Warehouse ID],RANDBETWEEN(1,8))</f>
        <v>W006</v>
      </c>
      <c r="F238">
        <f t="shared" ca="1" si="9"/>
        <v>7</v>
      </c>
      <c r="G238">
        <f ca="1">_xlfn.XLOOKUP(Orders[[#This Row],[Product ID]],Products[Product ID],Products[Selling Price])</f>
        <v>1200</v>
      </c>
      <c r="H238" s="6">
        <f t="shared" ca="1" si="10"/>
        <v>0.06</v>
      </c>
      <c r="I238">
        <f ca="1">Orders[[#This Row],[Quantity]]*Orders[[#This Row],[Unit Price]]*(1-Orders[[#This Row],[Discount%]])</f>
        <v>7896</v>
      </c>
      <c r="J238" t="str" cm="1">
        <f t="array" aca="1" ref="J238" ca="1">INDEX(PaymentMethods[Payment Method],RANDBETWEEN(1,5))</f>
        <v>Net Banking</v>
      </c>
    </row>
    <row r="239" spans="1:10" x14ac:dyDescent="0.3">
      <c r="A239" t="str">
        <f t="shared" si="11"/>
        <v>O0238</v>
      </c>
      <c r="B239" s="6">
        <f ca="1">Orders[[#This Row],[Discount%]]</f>
        <v>0.18</v>
      </c>
      <c r="C239" t="str" cm="1">
        <f t="array" aca="1" ref="C239" ca="1">INDEX(Customers[Customer ID],RANDBETWEEN(1,200))</f>
        <v>C191</v>
      </c>
      <c r="D239" t="str" cm="1">
        <f t="array" aca="1" ref="D239" ca="1">INDEX(Products[Product ID],RANDBETWEEN(1,50))</f>
        <v>P036</v>
      </c>
      <c r="E239" t="str" cm="1">
        <f t="array" aca="1" ref="E239" ca="1">INDEX(Warehouses[Warehouse ID],RANDBETWEEN(1,8))</f>
        <v>W002</v>
      </c>
      <c r="F239">
        <f t="shared" ca="1" si="9"/>
        <v>10</v>
      </c>
      <c r="G239">
        <f ca="1">_xlfn.XLOOKUP(Orders[[#This Row],[Product ID]],Products[Product ID],Products[Selling Price])</f>
        <v>450</v>
      </c>
      <c r="H239" s="6">
        <f t="shared" ca="1" si="10"/>
        <v>0.18</v>
      </c>
      <c r="I239">
        <f ca="1">Orders[[#This Row],[Quantity]]*Orders[[#This Row],[Unit Price]]*(1-Orders[[#This Row],[Discount%]])</f>
        <v>3690.0000000000005</v>
      </c>
      <c r="J239" t="str" cm="1">
        <f t="array" aca="1" ref="J239" ca="1">INDEX(PaymentMethods[Payment Method],RANDBETWEEN(1,5))</f>
        <v>Credit Card</v>
      </c>
    </row>
    <row r="240" spans="1:10" x14ac:dyDescent="0.3">
      <c r="A240" t="str">
        <f t="shared" si="11"/>
        <v>O0239</v>
      </c>
      <c r="B240" s="6">
        <f ca="1">Orders[[#This Row],[Discount%]]</f>
        <v>0.09</v>
      </c>
      <c r="C240" t="str" cm="1">
        <f t="array" aca="1" ref="C240" ca="1">INDEX(Customers[Customer ID],RANDBETWEEN(1,200))</f>
        <v>C173</v>
      </c>
      <c r="D240" t="str" cm="1">
        <f t="array" aca="1" ref="D240" ca="1">INDEX(Products[Product ID],RANDBETWEEN(1,50))</f>
        <v>P050</v>
      </c>
      <c r="E240" t="str" cm="1">
        <f t="array" aca="1" ref="E240" ca="1">INDEX(Warehouses[Warehouse ID],RANDBETWEEN(1,8))</f>
        <v>W007</v>
      </c>
      <c r="F240">
        <f t="shared" ca="1" si="9"/>
        <v>10</v>
      </c>
      <c r="G240">
        <f ca="1">_xlfn.XLOOKUP(Orders[[#This Row],[Product ID]],Products[Product ID],Products[Selling Price])</f>
        <v>12000</v>
      </c>
      <c r="H240" s="6">
        <f t="shared" ca="1" si="10"/>
        <v>0.09</v>
      </c>
      <c r="I240">
        <f ca="1">Orders[[#This Row],[Quantity]]*Orders[[#This Row],[Unit Price]]*(1-Orders[[#This Row],[Discount%]])</f>
        <v>109200</v>
      </c>
      <c r="J240" t="str" cm="1">
        <f t="array" aca="1" ref="J240" ca="1">INDEX(PaymentMethods[Payment Method],RANDBETWEEN(1,5))</f>
        <v>Net Banking</v>
      </c>
    </row>
    <row r="241" spans="1:10" x14ac:dyDescent="0.3">
      <c r="A241" t="str">
        <f t="shared" si="11"/>
        <v>O0240</v>
      </c>
      <c r="B241" s="6">
        <f ca="1">Orders[[#This Row],[Discount%]]</f>
        <v>0.04</v>
      </c>
      <c r="C241" t="str" cm="1">
        <f t="array" aca="1" ref="C241" ca="1">INDEX(Customers[Customer ID],RANDBETWEEN(1,200))</f>
        <v>C154</v>
      </c>
      <c r="D241" t="str" cm="1">
        <f t="array" aca="1" ref="D241" ca="1">INDEX(Products[Product ID],RANDBETWEEN(1,50))</f>
        <v>P050</v>
      </c>
      <c r="E241" t="str" cm="1">
        <f t="array" aca="1" ref="E241" ca="1">INDEX(Warehouses[Warehouse ID],RANDBETWEEN(1,8))</f>
        <v>W007</v>
      </c>
      <c r="F241">
        <f t="shared" ca="1" si="9"/>
        <v>7</v>
      </c>
      <c r="G241">
        <f ca="1">_xlfn.XLOOKUP(Orders[[#This Row],[Product ID]],Products[Product ID],Products[Selling Price])</f>
        <v>12000</v>
      </c>
      <c r="H241" s="6">
        <f t="shared" ca="1" si="10"/>
        <v>0.04</v>
      </c>
      <c r="I241">
        <f ca="1">Orders[[#This Row],[Quantity]]*Orders[[#This Row],[Unit Price]]*(1-Orders[[#This Row],[Discount%]])</f>
        <v>80640</v>
      </c>
      <c r="J241" t="str" cm="1">
        <f t="array" aca="1" ref="J241" ca="1">INDEX(PaymentMethods[Payment Method],RANDBETWEEN(1,5))</f>
        <v>Debit Card</v>
      </c>
    </row>
    <row r="242" spans="1:10" x14ac:dyDescent="0.3">
      <c r="A242" t="str">
        <f t="shared" si="11"/>
        <v>O0241</v>
      </c>
      <c r="B242" s="6">
        <f ca="1">Orders[[#This Row],[Discount%]]</f>
        <v>7.0000000000000007E-2</v>
      </c>
      <c r="C242" t="str" cm="1">
        <f t="array" aca="1" ref="C242" ca="1">INDEX(Customers[Customer ID],RANDBETWEEN(1,200))</f>
        <v>C119</v>
      </c>
      <c r="D242" t="str" cm="1">
        <f t="array" aca="1" ref="D242" ca="1">INDEX(Products[Product ID],RANDBETWEEN(1,50))</f>
        <v>P032</v>
      </c>
      <c r="E242" t="str" cm="1">
        <f t="array" aca="1" ref="E242" ca="1">INDEX(Warehouses[Warehouse ID],RANDBETWEEN(1,8))</f>
        <v>W006</v>
      </c>
      <c r="F242">
        <f t="shared" ca="1" si="9"/>
        <v>5</v>
      </c>
      <c r="G242">
        <f ca="1">_xlfn.XLOOKUP(Orders[[#This Row],[Product ID]],Products[Product ID],Products[Selling Price])</f>
        <v>220</v>
      </c>
      <c r="H242" s="6">
        <f t="shared" ca="1" si="10"/>
        <v>7.0000000000000007E-2</v>
      </c>
      <c r="I242">
        <f ca="1">Orders[[#This Row],[Quantity]]*Orders[[#This Row],[Unit Price]]*(1-Orders[[#This Row],[Discount%]])</f>
        <v>1022.9999999999999</v>
      </c>
      <c r="J242" t="str" cm="1">
        <f t="array" aca="1" ref="J242" ca="1">INDEX(PaymentMethods[Payment Method],RANDBETWEEN(1,5))</f>
        <v>Debit Card</v>
      </c>
    </row>
    <row r="243" spans="1:10" x14ac:dyDescent="0.3">
      <c r="A243" t="str">
        <f t="shared" si="11"/>
        <v>O0242</v>
      </c>
      <c r="B243" s="6">
        <f ca="1">Orders[[#This Row],[Discount%]]</f>
        <v>0.06</v>
      </c>
      <c r="C243" t="str" cm="1">
        <f t="array" aca="1" ref="C243" ca="1">INDEX(Customers[Customer ID],RANDBETWEEN(1,200))</f>
        <v>C199</v>
      </c>
      <c r="D243" t="str" cm="1">
        <f t="array" aca="1" ref="D243" ca="1">INDEX(Products[Product ID],RANDBETWEEN(1,50))</f>
        <v>P043</v>
      </c>
      <c r="E243" t="str" cm="1">
        <f t="array" aca="1" ref="E243" ca="1">INDEX(Warehouses[Warehouse ID],RANDBETWEEN(1,8))</f>
        <v>W005</v>
      </c>
      <c r="F243">
        <f t="shared" ca="1" si="9"/>
        <v>9</v>
      </c>
      <c r="G243">
        <f ca="1">_xlfn.XLOOKUP(Orders[[#This Row],[Product ID]],Products[Product ID],Products[Selling Price])</f>
        <v>24500</v>
      </c>
      <c r="H243" s="6">
        <f t="shared" ca="1" si="10"/>
        <v>0.06</v>
      </c>
      <c r="I243">
        <f ca="1">Orders[[#This Row],[Quantity]]*Orders[[#This Row],[Unit Price]]*(1-Orders[[#This Row],[Discount%]])</f>
        <v>207270</v>
      </c>
      <c r="J243" t="str" cm="1">
        <f t="array" aca="1" ref="J243" ca="1">INDEX(PaymentMethods[Payment Method],RANDBETWEEN(1,5))</f>
        <v>Net Banking</v>
      </c>
    </row>
    <row r="244" spans="1:10" x14ac:dyDescent="0.3">
      <c r="A244" t="str">
        <f t="shared" si="11"/>
        <v>O0243</v>
      </c>
      <c r="B244" s="6">
        <f ca="1">Orders[[#This Row],[Discount%]]</f>
        <v>0.03</v>
      </c>
      <c r="C244" t="str" cm="1">
        <f t="array" aca="1" ref="C244" ca="1">INDEX(Customers[Customer ID],RANDBETWEEN(1,200))</f>
        <v>C164</v>
      </c>
      <c r="D244" t="str" cm="1">
        <f t="array" aca="1" ref="D244" ca="1">INDEX(Products[Product ID],RANDBETWEEN(1,50))</f>
        <v>P008</v>
      </c>
      <c r="E244" t="str" cm="1">
        <f t="array" aca="1" ref="E244" ca="1">INDEX(Warehouses[Warehouse ID],RANDBETWEEN(1,8))</f>
        <v>W008</v>
      </c>
      <c r="F244">
        <f t="shared" ca="1" si="9"/>
        <v>5</v>
      </c>
      <c r="G244">
        <f ca="1">_xlfn.XLOOKUP(Orders[[#This Row],[Product ID]],Products[Product ID],Products[Selling Price])</f>
        <v>4200</v>
      </c>
      <c r="H244" s="6">
        <f t="shared" ca="1" si="10"/>
        <v>0.03</v>
      </c>
      <c r="I244">
        <f ca="1">Orders[[#This Row],[Quantity]]*Orders[[#This Row],[Unit Price]]*(1-Orders[[#This Row],[Discount%]])</f>
        <v>20370</v>
      </c>
      <c r="J244" t="str" cm="1">
        <f t="array" aca="1" ref="J244" ca="1">INDEX(PaymentMethods[Payment Method],RANDBETWEEN(1,5))</f>
        <v>Cash</v>
      </c>
    </row>
    <row r="245" spans="1:10" x14ac:dyDescent="0.3">
      <c r="A245" t="str">
        <f t="shared" si="11"/>
        <v>O0244</v>
      </c>
      <c r="B245" s="6">
        <f ca="1">Orders[[#This Row],[Discount%]]</f>
        <v>0.04</v>
      </c>
      <c r="C245" t="str" cm="1">
        <f t="array" aca="1" ref="C245" ca="1">INDEX(Customers[Customer ID],RANDBETWEEN(1,200))</f>
        <v>C106</v>
      </c>
      <c r="D245" t="str" cm="1">
        <f t="array" aca="1" ref="D245" ca="1">INDEX(Products[Product ID],RANDBETWEEN(1,50))</f>
        <v>P021</v>
      </c>
      <c r="E245" t="str" cm="1">
        <f t="array" aca="1" ref="E245" ca="1">INDEX(Warehouses[Warehouse ID],RANDBETWEEN(1,8))</f>
        <v>W001</v>
      </c>
      <c r="F245">
        <f t="shared" ca="1" si="9"/>
        <v>4</v>
      </c>
      <c r="G245">
        <f ca="1">_xlfn.XLOOKUP(Orders[[#This Row],[Product ID]],Products[Product ID],Products[Selling Price])</f>
        <v>22000</v>
      </c>
      <c r="H245" s="6">
        <f t="shared" ca="1" si="10"/>
        <v>0.04</v>
      </c>
      <c r="I245">
        <f ca="1">Orders[[#This Row],[Quantity]]*Orders[[#This Row],[Unit Price]]*(1-Orders[[#This Row],[Discount%]])</f>
        <v>84480</v>
      </c>
      <c r="J245" t="str" cm="1">
        <f t="array" aca="1" ref="J245" ca="1">INDEX(PaymentMethods[Payment Method],RANDBETWEEN(1,5))</f>
        <v>Net Banking</v>
      </c>
    </row>
    <row r="246" spans="1:10" x14ac:dyDescent="0.3">
      <c r="A246" t="str">
        <f t="shared" si="11"/>
        <v>O0245</v>
      </c>
      <c r="B246" s="6">
        <f ca="1">Orders[[#This Row],[Discount%]]</f>
        <v>0.14000000000000001</v>
      </c>
      <c r="C246" t="str" cm="1">
        <f t="array" aca="1" ref="C246" ca="1">INDEX(Customers[Customer ID],RANDBETWEEN(1,200))</f>
        <v>C094</v>
      </c>
      <c r="D246" t="str" cm="1">
        <f t="array" aca="1" ref="D246" ca="1">INDEX(Products[Product ID],RANDBETWEEN(1,50))</f>
        <v>P021</v>
      </c>
      <c r="E246" t="str" cm="1">
        <f t="array" aca="1" ref="E246" ca="1">INDEX(Warehouses[Warehouse ID],RANDBETWEEN(1,8))</f>
        <v>W001</v>
      </c>
      <c r="F246">
        <f t="shared" ca="1" si="9"/>
        <v>9</v>
      </c>
      <c r="G246">
        <f ca="1">_xlfn.XLOOKUP(Orders[[#This Row],[Product ID]],Products[Product ID],Products[Selling Price])</f>
        <v>22000</v>
      </c>
      <c r="H246" s="6">
        <f t="shared" ca="1" si="10"/>
        <v>0.14000000000000001</v>
      </c>
      <c r="I246">
        <f ca="1">Orders[[#This Row],[Quantity]]*Orders[[#This Row],[Unit Price]]*(1-Orders[[#This Row],[Discount%]])</f>
        <v>170280</v>
      </c>
      <c r="J246" t="str" cm="1">
        <f t="array" aca="1" ref="J246" ca="1">INDEX(PaymentMethods[Payment Method],RANDBETWEEN(1,5))</f>
        <v>Credit Card</v>
      </c>
    </row>
    <row r="247" spans="1:10" x14ac:dyDescent="0.3">
      <c r="A247" t="str">
        <f t="shared" si="11"/>
        <v>O0246</v>
      </c>
      <c r="B247" s="6">
        <f ca="1">Orders[[#This Row],[Discount%]]</f>
        <v>0</v>
      </c>
      <c r="C247" t="str" cm="1">
        <f t="array" aca="1" ref="C247" ca="1">INDEX(Customers[Customer ID],RANDBETWEEN(1,200))</f>
        <v>C007</v>
      </c>
      <c r="D247" t="str" cm="1">
        <f t="array" aca="1" ref="D247" ca="1">INDEX(Products[Product ID],RANDBETWEEN(1,50))</f>
        <v>P014</v>
      </c>
      <c r="E247" t="str" cm="1">
        <f t="array" aca="1" ref="E247" ca="1">INDEX(Warehouses[Warehouse ID],RANDBETWEEN(1,8))</f>
        <v>W008</v>
      </c>
      <c r="F247">
        <f t="shared" ca="1" si="9"/>
        <v>6</v>
      </c>
      <c r="G247">
        <f ca="1">_xlfn.XLOOKUP(Orders[[#This Row],[Product ID]],Products[Product ID],Products[Selling Price])</f>
        <v>800</v>
      </c>
      <c r="H247" s="6">
        <f t="shared" ca="1" si="10"/>
        <v>0</v>
      </c>
      <c r="I247">
        <f ca="1">Orders[[#This Row],[Quantity]]*Orders[[#This Row],[Unit Price]]*(1-Orders[[#This Row],[Discount%]])</f>
        <v>4800</v>
      </c>
      <c r="J247" t="str" cm="1">
        <f t="array" aca="1" ref="J247" ca="1">INDEX(PaymentMethods[Payment Method],RANDBETWEEN(1,5))</f>
        <v>UPI</v>
      </c>
    </row>
    <row r="248" spans="1:10" x14ac:dyDescent="0.3">
      <c r="A248" t="str">
        <f t="shared" si="11"/>
        <v>O0247</v>
      </c>
      <c r="B248" s="6">
        <f ca="1">Orders[[#This Row],[Discount%]]</f>
        <v>0.13</v>
      </c>
      <c r="C248" t="str" cm="1">
        <f t="array" aca="1" ref="C248" ca="1">INDEX(Customers[Customer ID],RANDBETWEEN(1,200))</f>
        <v>C150</v>
      </c>
      <c r="D248" t="str" cm="1">
        <f t="array" aca="1" ref="D248" ca="1">INDEX(Products[Product ID],RANDBETWEEN(1,50))</f>
        <v>P021</v>
      </c>
      <c r="E248" t="str" cm="1">
        <f t="array" aca="1" ref="E248" ca="1">INDEX(Warehouses[Warehouse ID],RANDBETWEEN(1,8))</f>
        <v>W002</v>
      </c>
      <c r="F248">
        <f t="shared" ca="1" si="9"/>
        <v>6</v>
      </c>
      <c r="G248">
        <f ca="1">_xlfn.XLOOKUP(Orders[[#This Row],[Product ID]],Products[Product ID],Products[Selling Price])</f>
        <v>22000</v>
      </c>
      <c r="H248" s="6">
        <f t="shared" ca="1" si="10"/>
        <v>0.13</v>
      </c>
      <c r="I248">
        <f ca="1">Orders[[#This Row],[Quantity]]*Orders[[#This Row],[Unit Price]]*(1-Orders[[#This Row],[Discount%]])</f>
        <v>114840</v>
      </c>
      <c r="J248" t="str" cm="1">
        <f t="array" aca="1" ref="J248" ca="1">INDEX(PaymentMethods[Payment Method],RANDBETWEEN(1,5))</f>
        <v>UPI</v>
      </c>
    </row>
    <row r="249" spans="1:10" x14ac:dyDescent="0.3">
      <c r="A249" t="str">
        <f t="shared" si="11"/>
        <v>O0248</v>
      </c>
      <c r="B249" s="6">
        <f ca="1">Orders[[#This Row],[Discount%]]</f>
        <v>0.09</v>
      </c>
      <c r="C249" t="str" cm="1">
        <f t="array" aca="1" ref="C249" ca="1">INDEX(Customers[Customer ID],RANDBETWEEN(1,200))</f>
        <v>C049</v>
      </c>
      <c r="D249" t="str" cm="1">
        <f t="array" aca="1" ref="D249" ca="1">INDEX(Products[Product ID],RANDBETWEEN(1,50))</f>
        <v>P002</v>
      </c>
      <c r="E249" t="str" cm="1">
        <f t="array" aca="1" ref="E249" ca="1">INDEX(Warehouses[Warehouse ID],RANDBETWEEN(1,8))</f>
        <v>W007</v>
      </c>
      <c r="F249">
        <f t="shared" ca="1" si="9"/>
        <v>2</v>
      </c>
      <c r="G249">
        <f ca="1">_xlfn.XLOOKUP(Orders[[#This Row],[Product ID]],Products[Product ID],Products[Selling Price])</f>
        <v>550</v>
      </c>
      <c r="H249" s="6">
        <f t="shared" ca="1" si="10"/>
        <v>0.09</v>
      </c>
      <c r="I249">
        <f ca="1">Orders[[#This Row],[Quantity]]*Orders[[#This Row],[Unit Price]]*(1-Orders[[#This Row],[Discount%]])</f>
        <v>1001</v>
      </c>
      <c r="J249" t="str" cm="1">
        <f t="array" aca="1" ref="J249" ca="1">INDEX(PaymentMethods[Payment Method],RANDBETWEEN(1,5))</f>
        <v>Credit Card</v>
      </c>
    </row>
    <row r="250" spans="1:10" x14ac:dyDescent="0.3">
      <c r="A250" t="str">
        <f t="shared" si="11"/>
        <v>O0249</v>
      </c>
      <c r="B250" s="6">
        <f ca="1">Orders[[#This Row],[Discount%]]</f>
        <v>0.2</v>
      </c>
      <c r="C250" t="str" cm="1">
        <f t="array" aca="1" ref="C250" ca="1">INDEX(Customers[Customer ID],RANDBETWEEN(1,200))</f>
        <v>C089</v>
      </c>
      <c r="D250" t="str" cm="1">
        <f t="array" aca="1" ref="D250" ca="1">INDEX(Products[Product ID],RANDBETWEEN(1,50))</f>
        <v>P005</v>
      </c>
      <c r="E250" t="str" cm="1">
        <f t="array" aca="1" ref="E250" ca="1">INDEX(Warehouses[Warehouse ID],RANDBETWEEN(1,8))</f>
        <v>W007</v>
      </c>
      <c r="F250">
        <f t="shared" ca="1" si="9"/>
        <v>6</v>
      </c>
      <c r="G250">
        <f ca="1">_xlfn.XLOOKUP(Orders[[#This Row],[Product ID]],Products[Product ID],Products[Selling Price])</f>
        <v>10500</v>
      </c>
      <c r="H250" s="6">
        <f t="shared" ca="1" si="10"/>
        <v>0.2</v>
      </c>
      <c r="I250">
        <f ca="1">Orders[[#This Row],[Quantity]]*Orders[[#This Row],[Unit Price]]*(1-Orders[[#This Row],[Discount%]])</f>
        <v>50400</v>
      </c>
      <c r="J250" t="str" cm="1">
        <f t="array" aca="1" ref="J250" ca="1">INDEX(PaymentMethods[Payment Method],RANDBETWEEN(1,5))</f>
        <v>Net Banking</v>
      </c>
    </row>
    <row r="251" spans="1:10" x14ac:dyDescent="0.3">
      <c r="A251" t="str">
        <f t="shared" si="11"/>
        <v>O0250</v>
      </c>
      <c r="B251" s="6">
        <f ca="1">Orders[[#This Row],[Discount%]]</f>
        <v>0.13</v>
      </c>
      <c r="C251" t="str" cm="1">
        <f t="array" aca="1" ref="C251" ca="1">INDEX(Customers[Customer ID],RANDBETWEEN(1,200))</f>
        <v>C006</v>
      </c>
      <c r="D251" t="str" cm="1">
        <f t="array" aca="1" ref="D251" ca="1">INDEX(Products[Product ID],RANDBETWEEN(1,50))</f>
        <v>P019</v>
      </c>
      <c r="E251" t="str" cm="1">
        <f t="array" aca="1" ref="E251" ca="1">INDEX(Warehouses[Warehouse ID],RANDBETWEEN(1,8))</f>
        <v>W005</v>
      </c>
      <c r="F251">
        <f t="shared" ca="1" si="9"/>
        <v>9</v>
      </c>
      <c r="G251">
        <f ca="1">_xlfn.XLOOKUP(Orders[[#This Row],[Product ID]],Products[Product ID],Products[Selling Price])</f>
        <v>950</v>
      </c>
      <c r="H251" s="6">
        <f t="shared" ca="1" si="10"/>
        <v>0.13</v>
      </c>
      <c r="I251">
        <f ca="1">Orders[[#This Row],[Quantity]]*Orders[[#This Row],[Unit Price]]*(1-Orders[[#This Row],[Discount%]])</f>
        <v>7438.5</v>
      </c>
      <c r="J251" t="str" cm="1">
        <f t="array" aca="1" ref="J251" ca="1">INDEX(PaymentMethods[Payment Method],RANDBETWEEN(1,5))</f>
        <v>Credit Card</v>
      </c>
    </row>
    <row r="252" spans="1:10" x14ac:dyDescent="0.3">
      <c r="A252" t="str">
        <f t="shared" si="11"/>
        <v>O0251</v>
      </c>
      <c r="B252" s="6">
        <f ca="1">Orders[[#This Row],[Discount%]]</f>
        <v>0.1</v>
      </c>
      <c r="C252" t="str" cm="1">
        <f t="array" aca="1" ref="C252" ca="1">INDEX(Customers[Customer ID],RANDBETWEEN(1,200))</f>
        <v>C160</v>
      </c>
      <c r="D252" t="str" cm="1">
        <f t="array" aca="1" ref="D252" ca="1">INDEX(Products[Product ID],RANDBETWEEN(1,50))</f>
        <v>P043</v>
      </c>
      <c r="E252" t="str" cm="1">
        <f t="array" aca="1" ref="E252" ca="1">INDEX(Warehouses[Warehouse ID],RANDBETWEEN(1,8))</f>
        <v>W002</v>
      </c>
      <c r="F252">
        <f t="shared" ca="1" si="9"/>
        <v>3</v>
      </c>
      <c r="G252">
        <f ca="1">_xlfn.XLOOKUP(Orders[[#This Row],[Product ID]],Products[Product ID],Products[Selling Price])</f>
        <v>24500</v>
      </c>
      <c r="H252" s="6">
        <f t="shared" ca="1" si="10"/>
        <v>0.1</v>
      </c>
      <c r="I252">
        <f ca="1">Orders[[#This Row],[Quantity]]*Orders[[#This Row],[Unit Price]]*(1-Orders[[#This Row],[Discount%]])</f>
        <v>66150</v>
      </c>
      <c r="J252" t="str" cm="1">
        <f t="array" aca="1" ref="J252" ca="1">INDEX(PaymentMethods[Payment Method],RANDBETWEEN(1,5))</f>
        <v>UPI</v>
      </c>
    </row>
    <row r="253" spans="1:10" x14ac:dyDescent="0.3">
      <c r="A253" t="str">
        <f t="shared" si="11"/>
        <v>O0252</v>
      </c>
      <c r="B253" s="6">
        <f ca="1">Orders[[#This Row],[Discount%]]</f>
        <v>7.0000000000000007E-2</v>
      </c>
      <c r="C253" t="str" cm="1">
        <f t="array" aca="1" ref="C253" ca="1">INDEX(Customers[Customer ID],RANDBETWEEN(1,200))</f>
        <v>C045</v>
      </c>
      <c r="D253" t="str" cm="1">
        <f t="array" aca="1" ref="D253" ca="1">INDEX(Products[Product ID],RANDBETWEEN(1,50))</f>
        <v>P011</v>
      </c>
      <c r="E253" t="str" cm="1">
        <f t="array" aca="1" ref="E253" ca="1">INDEX(Warehouses[Warehouse ID],RANDBETWEEN(1,8))</f>
        <v>W003</v>
      </c>
      <c r="F253">
        <f t="shared" ca="1" si="9"/>
        <v>6</v>
      </c>
      <c r="G253">
        <f ca="1">_xlfn.XLOOKUP(Orders[[#This Row],[Product ID]],Products[Product ID],Products[Selling Price])</f>
        <v>1200</v>
      </c>
      <c r="H253" s="6">
        <f t="shared" ca="1" si="10"/>
        <v>7.0000000000000007E-2</v>
      </c>
      <c r="I253">
        <f ca="1">Orders[[#This Row],[Quantity]]*Orders[[#This Row],[Unit Price]]*(1-Orders[[#This Row],[Discount%]])</f>
        <v>6696</v>
      </c>
      <c r="J253" t="str" cm="1">
        <f t="array" aca="1" ref="J253" ca="1">INDEX(PaymentMethods[Payment Method],RANDBETWEEN(1,5))</f>
        <v>Net Banking</v>
      </c>
    </row>
    <row r="254" spans="1:10" x14ac:dyDescent="0.3">
      <c r="A254" t="str">
        <f t="shared" si="11"/>
        <v>O0253</v>
      </c>
      <c r="B254" s="6">
        <f ca="1">Orders[[#This Row],[Discount%]]</f>
        <v>0.01</v>
      </c>
      <c r="C254" t="str" cm="1">
        <f t="array" aca="1" ref="C254" ca="1">INDEX(Customers[Customer ID],RANDBETWEEN(1,200))</f>
        <v>C026</v>
      </c>
      <c r="D254" t="str" cm="1">
        <f t="array" aca="1" ref="D254" ca="1">INDEX(Products[Product ID],RANDBETWEEN(1,50))</f>
        <v>P030</v>
      </c>
      <c r="E254" t="str" cm="1">
        <f t="array" aca="1" ref="E254" ca="1">INDEX(Warehouses[Warehouse ID],RANDBETWEEN(1,8))</f>
        <v>W001</v>
      </c>
      <c r="F254">
        <f t="shared" ca="1" si="9"/>
        <v>7</v>
      </c>
      <c r="G254">
        <f ca="1">_xlfn.XLOOKUP(Orders[[#This Row],[Product ID]],Products[Product ID],Products[Selling Price])</f>
        <v>4800</v>
      </c>
      <c r="H254" s="6">
        <f t="shared" ca="1" si="10"/>
        <v>0.01</v>
      </c>
      <c r="I254">
        <f ca="1">Orders[[#This Row],[Quantity]]*Orders[[#This Row],[Unit Price]]*(1-Orders[[#This Row],[Discount%]])</f>
        <v>33264</v>
      </c>
      <c r="J254" t="str" cm="1">
        <f t="array" aca="1" ref="J254" ca="1">INDEX(PaymentMethods[Payment Method],RANDBETWEEN(1,5))</f>
        <v>Net Banking</v>
      </c>
    </row>
    <row r="255" spans="1:10" x14ac:dyDescent="0.3">
      <c r="A255" t="str">
        <f t="shared" si="11"/>
        <v>O0254</v>
      </c>
      <c r="B255" s="6">
        <f ca="1">Orders[[#This Row],[Discount%]]</f>
        <v>0.06</v>
      </c>
      <c r="C255" t="str" cm="1">
        <f t="array" aca="1" ref="C255" ca="1">INDEX(Customers[Customer ID],RANDBETWEEN(1,200))</f>
        <v>C143</v>
      </c>
      <c r="D255" t="str" cm="1">
        <f t="array" aca="1" ref="D255" ca="1">INDEX(Products[Product ID],RANDBETWEEN(1,50))</f>
        <v>P018</v>
      </c>
      <c r="E255" t="str" cm="1">
        <f t="array" aca="1" ref="E255" ca="1">INDEX(Warehouses[Warehouse ID],RANDBETWEEN(1,8))</f>
        <v>W005</v>
      </c>
      <c r="F255">
        <f t="shared" ca="1" si="9"/>
        <v>1</v>
      </c>
      <c r="G255">
        <f ca="1">_xlfn.XLOOKUP(Orders[[#This Row],[Product ID]],Products[Product ID],Products[Selling Price])</f>
        <v>1500</v>
      </c>
      <c r="H255" s="6">
        <f t="shared" ca="1" si="10"/>
        <v>0.06</v>
      </c>
      <c r="I255">
        <f ca="1">Orders[[#This Row],[Quantity]]*Orders[[#This Row],[Unit Price]]*(1-Orders[[#This Row],[Discount%]])</f>
        <v>1410</v>
      </c>
      <c r="J255" t="str" cm="1">
        <f t="array" aca="1" ref="J255" ca="1">INDEX(PaymentMethods[Payment Method],RANDBETWEEN(1,5))</f>
        <v>Debit Card</v>
      </c>
    </row>
    <row r="256" spans="1:10" x14ac:dyDescent="0.3">
      <c r="A256" t="str">
        <f t="shared" si="11"/>
        <v>O0255</v>
      </c>
      <c r="B256" s="6">
        <f ca="1">Orders[[#This Row],[Discount%]]</f>
        <v>0.03</v>
      </c>
      <c r="C256" t="str" cm="1">
        <f t="array" aca="1" ref="C256" ca="1">INDEX(Customers[Customer ID],RANDBETWEEN(1,200))</f>
        <v>C121</v>
      </c>
      <c r="D256" t="str" cm="1">
        <f t="array" aca="1" ref="D256" ca="1">INDEX(Products[Product ID],RANDBETWEEN(1,50))</f>
        <v>P028</v>
      </c>
      <c r="E256" t="str" cm="1">
        <f t="array" aca="1" ref="E256" ca="1">INDEX(Warehouses[Warehouse ID],RANDBETWEEN(1,8))</f>
        <v>W008</v>
      </c>
      <c r="F256">
        <f t="shared" ca="1" si="9"/>
        <v>6</v>
      </c>
      <c r="G256">
        <f ca="1">_xlfn.XLOOKUP(Orders[[#This Row],[Product ID]],Products[Product ID],Products[Selling Price])</f>
        <v>16500</v>
      </c>
      <c r="H256" s="6">
        <f t="shared" ca="1" si="10"/>
        <v>0.03</v>
      </c>
      <c r="I256">
        <f ca="1">Orders[[#This Row],[Quantity]]*Orders[[#This Row],[Unit Price]]*(1-Orders[[#This Row],[Discount%]])</f>
        <v>96030</v>
      </c>
      <c r="J256" t="str" cm="1">
        <f t="array" aca="1" ref="J256" ca="1">INDEX(PaymentMethods[Payment Method],RANDBETWEEN(1,5))</f>
        <v>Net Banking</v>
      </c>
    </row>
    <row r="257" spans="1:10" x14ac:dyDescent="0.3">
      <c r="A257" t="str">
        <f t="shared" si="11"/>
        <v>O0256</v>
      </c>
      <c r="B257" s="6">
        <f ca="1">Orders[[#This Row],[Discount%]]</f>
        <v>0.19</v>
      </c>
      <c r="C257" t="str" cm="1">
        <f t="array" aca="1" ref="C257" ca="1">INDEX(Customers[Customer ID],RANDBETWEEN(1,200))</f>
        <v>C152</v>
      </c>
      <c r="D257" t="str" cm="1">
        <f t="array" aca="1" ref="D257" ca="1">INDEX(Products[Product ID],RANDBETWEEN(1,50))</f>
        <v>P026</v>
      </c>
      <c r="E257" t="str" cm="1">
        <f t="array" aca="1" ref="E257" ca="1">INDEX(Warehouses[Warehouse ID],RANDBETWEEN(1,8))</f>
        <v>W007</v>
      </c>
      <c r="F257">
        <f t="shared" ca="1" si="9"/>
        <v>3</v>
      </c>
      <c r="G257">
        <f ca="1">_xlfn.XLOOKUP(Orders[[#This Row],[Product ID]],Products[Product ID],Products[Selling Price])</f>
        <v>650</v>
      </c>
      <c r="H257" s="6">
        <f t="shared" ca="1" si="10"/>
        <v>0.19</v>
      </c>
      <c r="I257">
        <f ca="1">Orders[[#This Row],[Quantity]]*Orders[[#This Row],[Unit Price]]*(1-Orders[[#This Row],[Discount%]])</f>
        <v>1579.5</v>
      </c>
      <c r="J257" t="str" cm="1">
        <f t="array" aca="1" ref="J257" ca="1">INDEX(PaymentMethods[Payment Method],RANDBETWEEN(1,5))</f>
        <v>Debit Card</v>
      </c>
    </row>
    <row r="258" spans="1:10" x14ac:dyDescent="0.3">
      <c r="A258" t="str">
        <f t="shared" si="11"/>
        <v>O0257</v>
      </c>
      <c r="B258" s="6">
        <f ca="1">Orders[[#This Row],[Discount%]]</f>
        <v>0.17</v>
      </c>
      <c r="C258" t="str" cm="1">
        <f t="array" aca="1" ref="C258" ca="1">INDEX(Customers[Customer ID],RANDBETWEEN(1,200))</f>
        <v>C134</v>
      </c>
      <c r="D258" t="str" cm="1">
        <f t="array" aca="1" ref="D258" ca="1">INDEX(Products[Product ID],RANDBETWEEN(1,50))</f>
        <v>P007</v>
      </c>
      <c r="E258" t="str" cm="1">
        <f t="array" aca="1" ref="E258" ca="1">INDEX(Warehouses[Warehouse ID],RANDBETWEEN(1,8))</f>
        <v>W005</v>
      </c>
      <c r="F258">
        <f t="shared" ref="F258:F321" ca="1" si="12">RANDBETWEEN(1,10)</f>
        <v>10</v>
      </c>
      <c r="G258">
        <f ca="1">_xlfn.XLOOKUP(Orders[[#This Row],[Product ID]],Products[Product ID],Products[Selling Price])</f>
        <v>6000</v>
      </c>
      <c r="H258" s="6">
        <f t="shared" ref="H258:H321" ca="1" si="13">RANDBETWEEN(0,20)/100</f>
        <v>0.17</v>
      </c>
      <c r="I258">
        <f ca="1">Orders[[#This Row],[Quantity]]*Orders[[#This Row],[Unit Price]]*(1-Orders[[#This Row],[Discount%]])</f>
        <v>49800</v>
      </c>
      <c r="J258" t="str" cm="1">
        <f t="array" aca="1" ref="J258" ca="1">INDEX(PaymentMethods[Payment Method],RANDBETWEEN(1,5))</f>
        <v>Cash</v>
      </c>
    </row>
    <row r="259" spans="1:10" x14ac:dyDescent="0.3">
      <c r="A259" t="str">
        <f t="shared" ref="A259:A322" si="14">"O"&amp;TEXT(ROW()-1,"0000")</f>
        <v>O0258</v>
      </c>
      <c r="B259" s="6">
        <f ca="1">Orders[[#This Row],[Discount%]]</f>
        <v>0.08</v>
      </c>
      <c r="C259" t="str" cm="1">
        <f t="array" aca="1" ref="C259" ca="1">INDEX(Customers[Customer ID],RANDBETWEEN(1,200))</f>
        <v>C085</v>
      </c>
      <c r="D259" t="str" cm="1">
        <f t="array" aca="1" ref="D259" ca="1">INDEX(Products[Product ID],RANDBETWEEN(1,50))</f>
        <v>P048</v>
      </c>
      <c r="E259" t="str" cm="1">
        <f t="array" aca="1" ref="E259" ca="1">INDEX(Warehouses[Warehouse ID],RANDBETWEEN(1,8))</f>
        <v>W001</v>
      </c>
      <c r="F259">
        <f t="shared" ca="1" si="12"/>
        <v>1</v>
      </c>
      <c r="G259">
        <f ca="1">_xlfn.XLOOKUP(Orders[[#This Row],[Product ID]],Products[Product ID],Products[Selling Price])</f>
        <v>1200</v>
      </c>
      <c r="H259" s="6">
        <f t="shared" ca="1" si="13"/>
        <v>0.08</v>
      </c>
      <c r="I259">
        <f ca="1">Orders[[#This Row],[Quantity]]*Orders[[#This Row],[Unit Price]]*(1-Orders[[#This Row],[Discount%]])</f>
        <v>1104</v>
      </c>
      <c r="J259" t="str" cm="1">
        <f t="array" aca="1" ref="J259" ca="1">INDEX(PaymentMethods[Payment Method],RANDBETWEEN(1,5))</f>
        <v>Cash</v>
      </c>
    </row>
    <row r="260" spans="1:10" x14ac:dyDescent="0.3">
      <c r="A260" t="str">
        <f t="shared" si="14"/>
        <v>O0259</v>
      </c>
      <c r="B260" s="6">
        <f ca="1">Orders[[#This Row],[Discount%]]</f>
        <v>0.15</v>
      </c>
      <c r="C260" t="str" cm="1">
        <f t="array" aca="1" ref="C260" ca="1">INDEX(Customers[Customer ID],RANDBETWEEN(1,200))</f>
        <v>C134</v>
      </c>
      <c r="D260" t="str" cm="1">
        <f t="array" aca="1" ref="D260" ca="1">INDEX(Products[Product ID],RANDBETWEEN(1,50))</f>
        <v>P042</v>
      </c>
      <c r="E260" t="str" cm="1">
        <f t="array" aca="1" ref="E260" ca="1">INDEX(Warehouses[Warehouse ID],RANDBETWEEN(1,8))</f>
        <v>W003</v>
      </c>
      <c r="F260">
        <f t="shared" ca="1" si="12"/>
        <v>9</v>
      </c>
      <c r="G260">
        <f ca="1">_xlfn.XLOOKUP(Orders[[#This Row],[Product ID]],Products[Product ID],Products[Selling Price])</f>
        <v>29000</v>
      </c>
      <c r="H260" s="6">
        <f t="shared" ca="1" si="13"/>
        <v>0.15</v>
      </c>
      <c r="I260">
        <f ca="1">Orders[[#This Row],[Quantity]]*Orders[[#This Row],[Unit Price]]*(1-Orders[[#This Row],[Discount%]])</f>
        <v>221850</v>
      </c>
      <c r="J260" t="str" cm="1">
        <f t="array" aca="1" ref="J260" ca="1">INDEX(PaymentMethods[Payment Method],RANDBETWEEN(1,5))</f>
        <v>Debit Card</v>
      </c>
    </row>
    <row r="261" spans="1:10" x14ac:dyDescent="0.3">
      <c r="A261" t="str">
        <f t="shared" si="14"/>
        <v>O0260</v>
      </c>
      <c r="B261" s="6">
        <f ca="1">Orders[[#This Row],[Discount%]]</f>
        <v>0.03</v>
      </c>
      <c r="C261" t="str" cm="1">
        <f t="array" aca="1" ref="C261" ca="1">INDEX(Customers[Customer ID],RANDBETWEEN(1,200))</f>
        <v>C050</v>
      </c>
      <c r="D261" t="str" cm="1">
        <f t="array" aca="1" ref="D261" ca="1">INDEX(Products[Product ID],RANDBETWEEN(1,50))</f>
        <v>P043</v>
      </c>
      <c r="E261" t="str" cm="1">
        <f t="array" aca="1" ref="E261" ca="1">INDEX(Warehouses[Warehouse ID],RANDBETWEEN(1,8))</f>
        <v>W003</v>
      </c>
      <c r="F261">
        <f t="shared" ca="1" si="12"/>
        <v>3</v>
      </c>
      <c r="G261">
        <f ca="1">_xlfn.XLOOKUP(Orders[[#This Row],[Product ID]],Products[Product ID],Products[Selling Price])</f>
        <v>24500</v>
      </c>
      <c r="H261" s="6">
        <f t="shared" ca="1" si="13"/>
        <v>0.03</v>
      </c>
      <c r="I261">
        <f ca="1">Orders[[#This Row],[Quantity]]*Orders[[#This Row],[Unit Price]]*(1-Orders[[#This Row],[Discount%]])</f>
        <v>71295</v>
      </c>
      <c r="J261" t="str" cm="1">
        <f t="array" aca="1" ref="J261" ca="1">INDEX(PaymentMethods[Payment Method],RANDBETWEEN(1,5))</f>
        <v>Cash</v>
      </c>
    </row>
    <row r="262" spans="1:10" x14ac:dyDescent="0.3">
      <c r="A262" t="str">
        <f t="shared" si="14"/>
        <v>O0261</v>
      </c>
      <c r="B262" s="6">
        <f ca="1">Orders[[#This Row],[Discount%]]</f>
        <v>0</v>
      </c>
      <c r="C262" t="str" cm="1">
        <f t="array" aca="1" ref="C262" ca="1">INDEX(Customers[Customer ID],RANDBETWEEN(1,200))</f>
        <v>C152</v>
      </c>
      <c r="D262" t="str" cm="1">
        <f t="array" aca="1" ref="D262" ca="1">INDEX(Products[Product ID],RANDBETWEEN(1,50))</f>
        <v>P013</v>
      </c>
      <c r="E262" t="str" cm="1">
        <f t="array" aca="1" ref="E262" ca="1">INDEX(Warehouses[Warehouse ID],RANDBETWEEN(1,8))</f>
        <v>W002</v>
      </c>
      <c r="F262">
        <f t="shared" ca="1" si="12"/>
        <v>3</v>
      </c>
      <c r="G262">
        <f ca="1">_xlfn.XLOOKUP(Orders[[#This Row],[Product ID]],Products[Product ID],Products[Selling Price])</f>
        <v>25</v>
      </c>
      <c r="H262" s="6">
        <f t="shared" ca="1" si="13"/>
        <v>0</v>
      </c>
      <c r="I262">
        <f ca="1">Orders[[#This Row],[Quantity]]*Orders[[#This Row],[Unit Price]]*(1-Orders[[#This Row],[Discount%]])</f>
        <v>75</v>
      </c>
      <c r="J262" t="str" cm="1">
        <f t="array" aca="1" ref="J262" ca="1">INDEX(PaymentMethods[Payment Method],RANDBETWEEN(1,5))</f>
        <v>Debit Card</v>
      </c>
    </row>
    <row r="263" spans="1:10" x14ac:dyDescent="0.3">
      <c r="A263" t="str">
        <f t="shared" si="14"/>
        <v>O0262</v>
      </c>
      <c r="B263" s="6">
        <f ca="1">Orders[[#This Row],[Discount%]]</f>
        <v>0.14000000000000001</v>
      </c>
      <c r="C263" t="str" cm="1">
        <f t="array" aca="1" ref="C263" ca="1">INDEX(Customers[Customer ID],RANDBETWEEN(1,200))</f>
        <v>C133</v>
      </c>
      <c r="D263" t="str" cm="1">
        <f t="array" aca="1" ref="D263" ca="1">INDEX(Products[Product ID],RANDBETWEEN(1,50))</f>
        <v>P036</v>
      </c>
      <c r="E263" t="str" cm="1">
        <f t="array" aca="1" ref="E263" ca="1">INDEX(Warehouses[Warehouse ID],RANDBETWEEN(1,8))</f>
        <v>W004</v>
      </c>
      <c r="F263">
        <f t="shared" ca="1" si="12"/>
        <v>8</v>
      </c>
      <c r="G263">
        <f ca="1">_xlfn.XLOOKUP(Orders[[#This Row],[Product ID]],Products[Product ID],Products[Selling Price])</f>
        <v>450</v>
      </c>
      <c r="H263" s="6">
        <f t="shared" ca="1" si="13"/>
        <v>0.14000000000000001</v>
      </c>
      <c r="I263">
        <f ca="1">Orders[[#This Row],[Quantity]]*Orders[[#This Row],[Unit Price]]*(1-Orders[[#This Row],[Discount%]])</f>
        <v>3096</v>
      </c>
      <c r="J263" t="str" cm="1">
        <f t="array" aca="1" ref="J263" ca="1">INDEX(PaymentMethods[Payment Method],RANDBETWEEN(1,5))</f>
        <v>Debit Card</v>
      </c>
    </row>
    <row r="264" spans="1:10" x14ac:dyDescent="0.3">
      <c r="A264" t="str">
        <f t="shared" si="14"/>
        <v>O0263</v>
      </c>
      <c r="B264" s="6">
        <f ca="1">Orders[[#This Row],[Discount%]]</f>
        <v>0.06</v>
      </c>
      <c r="C264" t="str" cm="1">
        <f t="array" aca="1" ref="C264" ca="1">INDEX(Customers[Customer ID],RANDBETWEEN(1,200))</f>
        <v>C056</v>
      </c>
      <c r="D264" t="str" cm="1">
        <f t="array" aca="1" ref="D264" ca="1">INDEX(Products[Product ID],RANDBETWEEN(1,50))</f>
        <v>P007</v>
      </c>
      <c r="E264" t="str" cm="1">
        <f t="array" aca="1" ref="E264" ca="1">INDEX(Warehouses[Warehouse ID],RANDBETWEEN(1,8))</f>
        <v>W001</v>
      </c>
      <c r="F264">
        <f t="shared" ca="1" si="12"/>
        <v>3</v>
      </c>
      <c r="G264">
        <f ca="1">_xlfn.XLOOKUP(Orders[[#This Row],[Product ID]],Products[Product ID],Products[Selling Price])</f>
        <v>6000</v>
      </c>
      <c r="H264" s="6">
        <f t="shared" ca="1" si="13"/>
        <v>0.06</v>
      </c>
      <c r="I264">
        <f ca="1">Orders[[#This Row],[Quantity]]*Orders[[#This Row],[Unit Price]]*(1-Orders[[#This Row],[Discount%]])</f>
        <v>16920</v>
      </c>
      <c r="J264" t="str" cm="1">
        <f t="array" aca="1" ref="J264" ca="1">INDEX(PaymentMethods[Payment Method],RANDBETWEEN(1,5))</f>
        <v>Debit Card</v>
      </c>
    </row>
    <row r="265" spans="1:10" x14ac:dyDescent="0.3">
      <c r="A265" t="str">
        <f t="shared" si="14"/>
        <v>O0264</v>
      </c>
      <c r="B265" s="6">
        <f ca="1">Orders[[#This Row],[Discount%]]</f>
        <v>0.13</v>
      </c>
      <c r="C265" t="str" cm="1">
        <f t="array" aca="1" ref="C265" ca="1">INDEX(Customers[Customer ID],RANDBETWEEN(1,200))</f>
        <v>C138</v>
      </c>
      <c r="D265" t="str" cm="1">
        <f t="array" aca="1" ref="D265" ca="1">INDEX(Products[Product ID],RANDBETWEEN(1,50))</f>
        <v>P008</v>
      </c>
      <c r="E265" t="str" cm="1">
        <f t="array" aca="1" ref="E265" ca="1">INDEX(Warehouses[Warehouse ID],RANDBETWEEN(1,8))</f>
        <v>W003</v>
      </c>
      <c r="F265">
        <f t="shared" ca="1" si="12"/>
        <v>8</v>
      </c>
      <c r="G265">
        <f ca="1">_xlfn.XLOOKUP(Orders[[#This Row],[Product ID]],Products[Product ID],Products[Selling Price])</f>
        <v>4200</v>
      </c>
      <c r="H265" s="6">
        <f t="shared" ca="1" si="13"/>
        <v>0.13</v>
      </c>
      <c r="I265">
        <f ca="1">Orders[[#This Row],[Quantity]]*Orders[[#This Row],[Unit Price]]*(1-Orders[[#This Row],[Discount%]])</f>
        <v>29232</v>
      </c>
      <c r="J265" t="str" cm="1">
        <f t="array" aca="1" ref="J265" ca="1">INDEX(PaymentMethods[Payment Method],RANDBETWEEN(1,5))</f>
        <v>Credit Card</v>
      </c>
    </row>
    <row r="266" spans="1:10" x14ac:dyDescent="0.3">
      <c r="A266" t="str">
        <f t="shared" si="14"/>
        <v>O0265</v>
      </c>
      <c r="B266" s="6">
        <f ca="1">Orders[[#This Row],[Discount%]]</f>
        <v>0.06</v>
      </c>
      <c r="C266" t="str" cm="1">
        <f t="array" aca="1" ref="C266" ca="1">INDEX(Customers[Customer ID],RANDBETWEEN(1,200))</f>
        <v>C011</v>
      </c>
      <c r="D266" t="str" cm="1">
        <f t="array" aca="1" ref="D266" ca="1">INDEX(Products[Product ID],RANDBETWEEN(1,50))</f>
        <v>P025</v>
      </c>
      <c r="E266" t="str" cm="1">
        <f t="array" aca="1" ref="E266" ca="1">INDEX(Warehouses[Warehouse ID],RANDBETWEEN(1,8))</f>
        <v>W002</v>
      </c>
      <c r="F266">
        <f t="shared" ca="1" si="12"/>
        <v>7</v>
      </c>
      <c r="G266">
        <f ca="1">_xlfn.XLOOKUP(Orders[[#This Row],[Product ID]],Products[Product ID],Products[Selling Price])</f>
        <v>1800</v>
      </c>
      <c r="H266" s="6">
        <f t="shared" ca="1" si="13"/>
        <v>0.06</v>
      </c>
      <c r="I266">
        <f ca="1">Orders[[#This Row],[Quantity]]*Orders[[#This Row],[Unit Price]]*(1-Orders[[#This Row],[Discount%]])</f>
        <v>11844</v>
      </c>
      <c r="J266" t="str" cm="1">
        <f t="array" aca="1" ref="J266" ca="1">INDEX(PaymentMethods[Payment Method],RANDBETWEEN(1,5))</f>
        <v>Cash</v>
      </c>
    </row>
    <row r="267" spans="1:10" x14ac:dyDescent="0.3">
      <c r="A267" t="str">
        <f t="shared" si="14"/>
        <v>O0266</v>
      </c>
      <c r="B267" s="6">
        <f ca="1">Orders[[#This Row],[Discount%]]</f>
        <v>0.08</v>
      </c>
      <c r="C267" t="str" cm="1">
        <f t="array" aca="1" ref="C267" ca="1">INDEX(Customers[Customer ID],RANDBETWEEN(1,200))</f>
        <v>C151</v>
      </c>
      <c r="D267" t="str" cm="1">
        <f t="array" aca="1" ref="D267" ca="1">INDEX(Products[Product ID],RANDBETWEEN(1,50))</f>
        <v>P012</v>
      </c>
      <c r="E267" t="str" cm="1">
        <f t="array" aca="1" ref="E267" ca="1">INDEX(Warehouses[Warehouse ID],RANDBETWEEN(1,8))</f>
        <v>W003</v>
      </c>
      <c r="F267">
        <f t="shared" ca="1" si="12"/>
        <v>5</v>
      </c>
      <c r="G267">
        <f ca="1">_xlfn.XLOOKUP(Orders[[#This Row],[Product ID]],Products[Product ID],Products[Selling Price])</f>
        <v>80</v>
      </c>
      <c r="H267" s="6">
        <f t="shared" ca="1" si="13"/>
        <v>0.08</v>
      </c>
      <c r="I267">
        <f ca="1">Orders[[#This Row],[Quantity]]*Orders[[#This Row],[Unit Price]]*(1-Orders[[#This Row],[Discount%]])</f>
        <v>368</v>
      </c>
      <c r="J267" t="str" cm="1">
        <f t="array" aca="1" ref="J267" ca="1">INDEX(PaymentMethods[Payment Method],RANDBETWEEN(1,5))</f>
        <v>Net Banking</v>
      </c>
    </row>
    <row r="268" spans="1:10" x14ac:dyDescent="0.3">
      <c r="A268" t="str">
        <f t="shared" si="14"/>
        <v>O0267</v>
      </c>
      <c r="B268" s="6">
        <f ca="1">Orders[[#This Row],[Discount%]]</f>
        <v>0.19</v>
      </c>
      <c r="C268" t="str" cm="1">
        <f t="array" aca="1" ref="C268" ca="1">INDEX(Customers[Customer ID],RANDBETWEEN(1,200))</f>
        <v>C050</v>
      </c>
      <c r="D268" t="str" cm="1">
        <f t="array" aca="1" ref="D268" ca="1">INDEX(Products[Product ID],RANDBETWEEN(1,50))</f>
        <v>P014</v>
      </c>
      <c r="E268" t="str" cm="1">
        <f t="array" aca="1" ref="E268" ca="1">INDEX(Warehouses[Warehouse ID],RANDBETWEEN(1,8))</f>
        <v>W008</v>
      </c>
      <c r="F268">
        <f t="shared" ca="1" si="12"/>
        <v>4</v>
      </c>
      <c r="G268">
        <f ca="1">_xlfn.XLOOKUP(Orders[[#This Row],[Product ID]],Products[Product ID],Products[Selling Price])</f>
        <v>800</v>
      </c>
      <c r="H268" s="6">
        <f t="shared" ca="1" si="13"/>
        <v>0.19</v>
      </c>
      <c r="I268">
        <f ca="1">Orders[[#This Row],[Quantity]]*Orders[[#This Row],[Unit Price]]*(1-Orders[[#This Row],[Discount%]])</f>
        <v>2592</v>
      </c>
      <c r="J268" t="str" cm="1">
        <f t="array" aca="1" ref="J268" ca="1">INDEX(PaymentMethods[Payment Method],RANDBETWEEN(1,5))</f>
        <v>Debit Card</v>
      </c>
    </row>
    <row r="269" spans="1:10" x14ac:dyDescent="0.3">
      <c r="A269" t="str">
        <f t="shared" si="14"/>
        <v>O0268</v>
      </c>
      <c r="B269" s="6">
        <f ca="1">Orders[[#This Row],[Discount%]]</f>
        <v>0.12</v>
      </c>
      <c r="C269" t="str" cm="1">
        <f t="array" aca="1" ref="C269" ca="1">INDEX(Customers[Customer ID],RANDBETWEEN(1,200))</f>
        <v>C124</v>
      </c>
      <c r="D269" t="str" cm="1">
        <f t="array" aca="1" ref="D269" ca="1">INDEX(Products[Product ID],RANDBETWEEN(1,50))</f>
        <v>P008</v>
      </c>
      <c r="E269" t="str" cm="1">
        <f t="array" aca="1" ref="E269" ca="1">INDEX(Warehouses[Warehouse ID],RANDBETWEEN(1,8))</f>
        <v>W005</v>
      </c>
      <c r="F269">
        <f t="shared" ca="1" si="12"/>
        <v>5</v>
      </c>
      <c r="G269">
        <f ca="1">_xlfn.XLOOKUP(Orders[[#This Row],[Product ID]],Products[Product ID],Products[Selling Price])</f>
        <v>4200</v>
      </c>
      <c r="H269" s="6">
        <f t="shared" ca="1" si="13"/>
        <v>0.12</v>
      </c>
      <c r="I269">
        <f ca="1">Orders[[#This Row],[Quantity]]*Orders[[#This Row],[Unit Price]]*(1-Orders[[#This Row],[Discount%]])</f>
        <v>18480</v>
      </c>
      <c r="J269" t="str" cm="1">
        <f t="array" aca="1" ref="J269" ca="1">INDEX(PaymentMethods[Payment Method],RANDBETWEEN(1,5))</f>
        <v>Net Banking</v>
      </c>
    </row>
    <row r="270" spans="1:10" x14ac:dyDescent="0.3">
      <c r="A270" t="str">
        <f t="shared" si="14"/>
        <v>O0269</v>
      </c>
      <c r="B270" s="6">
        <f ca="1">Orders[[#This Row],[Discount%]]</f>
        <v>7.0000000000000007E-2</v>
      </c>
      <c r="C270" t="str" cm="1">
        <f t="array" aca="1" ref="C270" ca="1">INDEX(Customers[Customer ID],RANDBETWEEN(1,200))</f>
        <v>C013</v>
      </c>
      <c r="D270" t="str" cm="1">
        <f t="array" aca="1" ref="D270" ca="1">INDEX(Products[Product ID],RANDBETWEEN(1,50))</f>
        <v>P042</v>
      </c>
      <c r="E270" t="str" cm="1">
        <f t="array" aca="1" ref="E270" ca="1">INDEX(Warehouses[Warehouse ID],RANDBETWEEN(1,8))</f>
        <v>W001</v>
      </c>
      <c r="F270">
        <f t="shared" ca="1" si="12"/>
        <v>7</v>
      </c>
      <c r="G270">
        <f ca="1">_xlfn.XLOOKUP(Orders[[#This Row],[Product ID]],Products[Product ID],Products[Selling Price])</f>
        <v>29000</v>
      </c>
      <c r="H270" s="6">
        <f t="shared" ca="1" si="13"/>
        <v>7.0000000000000007E-2</v>
      </c>
      <c r="I270">
        <f ca="1">Orders[[#This Row],[Quantity]]*Orders[[#This Row],[Unit Price]]*(1-Orders[[#This Row],[Discount%]])</f>
        <v>188790</v>
      </c>
      <c r="J270" t="str" cm="1">
        <f t="array" aca="1" ref="J270" ca="1">INDEX(PaymentMethods[Payment Method],RANDBETWEEN(1,5))</f>
        <v>Net Banking</v>
      </c>
    </row>
    <row r="271" spans="1:10" x14ac:dyDescent="0.3">
      <c r="A271" t="str">
        <f t="shared" si="14"/>
        <v>O0270</v>
      </c>
      <c r="B271" s="6">
        <f ca="1">Orders[[#This Row],[Discount%]]</f>
        <v>0.16</v>
      </c>
      <c r="C271" t="str" cm="1">
        <f t="array" aca="1" ref="C271" ca="1">INDEX(Customers[Customer ID],RANDBETWEEN(1,200))</f>
        <v>C025</v>
      </c>
      <c r="D271" t="str" cm="1">
        <f t="array" aca="1" ref="D271" ca="1">INDEX(Products[Product ID],RANDBETWEEN(1,50))</f>
        <v>P020</v>
      </c>
      <c r="E271" t="str" cm="1">
        <f t="array" aca="1" ref="E271" ca="1">INDEX(Warehouses[Warehouse ID],RANDBETWEEN(1,8))</f>
        <v>W008</v>
      </c>
      <c r="F271">
        <f t="shared" ca="1" si="12"/>
        <v>1</v>
      </c>
      <c r="G271">
        <f ca="1">_xlfn.XLOOKUP(Orders[[#This Row],[Product ID]],Products[Product ID],Products[Selling Price])</f>
        <v>450</v>
      </c>
      <c r="H271" s="6">
        <f t="shared" ca="1" si="13"/>
        <v>0.16</v>
      </c>
      <c r="I271">
        <f ca="1">Orders[[#This Row],[Quantity]]*Orders[[#This Row],[Unit Price]]*(1-Orders[[#This Row],[Discount%]])</f>
        <v>378</v>
      </c>
      <c r="J271" t="str" cm="1">
        <f t="array" aca="1" ref="J271" ca="1">INDEX(PaymentMethods[Payment Method],RANDBETWEEN(1,5))</f>
        <v>Credit Card</v>
      </c>
    </row>
    <row r="272" spans="1:10" x14ac:dyDescent="0.3">
      <c r="A272" t="str">
        <f t="shared" si="14"/>
        <v>O0271</v>
      </c>
      <c r="B272" s="6">
        <f ca="1">Orders[[#This Row],[Discount%]]</f>
        <v>0.13</v>
      </c>
      <c r="C272" t="str" cm="1">
        <f t="array" aca="1" ref="C272" ca="1">INDEX(Customers[Customer ID],RANDBETWEEN(1,200))</f>
        <v>C101</v>
      </c>
      <c r="D272" t="str" cm="1">
        <f t="array" aca="1" ref="D272" ca="1">INDEX(Products[Product ID],RANDBETWEEN(1,50))</f>
        <v>P005</v>
      </c>
      <c r="E272" t="str" cm="1">
        <f t="array" aca="1" ref="E272" ca="1">INDEX(Warehouses[Warehouse ID],RANDBETWEEN(1,8))</f>
        <v>W001</v>
      </c>
      <c r="F272">
        <f t="shared" ca="1" si="12"/>
        <v>6</v>
      </c>
      <c r="G272">
        <f ca="1">_xlfn.XLOOKUP(Orders[[#This Row],[Product ID]],Products[Product ID],Products[Selling Price])</f>
        <v>10500</v>
      </c>
      <c r="H272" s="6">
        <f t="shared" ca="1" si="13"/>
        <v>0.13</v>
      </c>
      <c r="I272">
        <f ca="1">Orders[[#This Row],[Quantity]]*Orders[[#This Row],[Unit Price]]*(1-Orders[[#This Row],[Discount%]])</f>
        <v>54810</v>
      </c>
      <c r="J272" t="str" cm="1">
        <f t="array" aca="1" ref="J272" ca="1">INDEX(PaymentMethods[Payment Method],RANDBETWEEN(1,5))</f>
        <v>Debit Card</v>
      </c>
    </row>
    <row r="273" spans="1:10" x14ac:dyDescent="0.3">
      <c r="A273" t="str">
        <f t="shared" si="14"/>
        <v>O0272</v>
      </c>
      <c r="B273" s="6">
        <f ca="1">Orders[[#This Row],[Discount%]]</f>
        <v>0</v>
      </c>
      <c r="C273" t="str" cm="1">
        <f t="array" aca="1" ref="C273" ca="1">INDEX(Customers[Customer ID],RANDBETWEEN(1,200))</f>
        <v>C182</v>
      </c>
      <c r="D273" t="str" cm="1">
        <f t="array" aca="1" ref="D273" ca="1">INDEX(Products[Product ID],RANDBETWEEN(1,50))</f>
        <v>P030</v>
      </c>
      <c r="E273" t="str" cm="1">
        <f t="array" aca="1" ref="E273" ca="1">INDEX(Warehouses[Warehouse ID],RANDBETWEEN(1,8))</f>
        <v>W005</v>
      </c>
      <c r="F273">
        <f t="shared" ca="1" si="12"/>
        <v>1</v>
      </c>
      <c r="G273">
        <f ca="1">_xlfn.XLOOKUP(Orders[[#This Row],[Product ID]],Products[Product ID],Products[Selling Price])</f>
        <v>4800</v>
      </c>
      <c r="H273" s="6">
        <f t="shared" ca="1" si="13"/>
        <v>0</v>
      </c>
      <c r="I273">
        <f ca="1">Orders[[#This Row],[Quantity]]*Orders[[#This Row],[Unit Price]]*(1-Orders[[#This Row],[Discount%]])</f>
        <v>4800</v>
      </c>
      <c r="J273" t="str" cm="1">
        <f t="array" aca="1" ref="J273" ca="1">INDEX(PaymentMethods[Payment Method],RANDBETWEEN(1,5))</f>
        <v>Cash</v>
      </c>
    </row>
    <row r="274" spans="1:10" x14ac:dyDescent="0.3">
      <c r="A274" t="str">
        <f t="shared" si="14"/>
        <v>O0273</v>
      </c>
      <c r="B274" s="6">
        <f ca="1">Orders[[#This Row],[Discount%]]</f>
        <v>0.02</v>
      </c>
      <c r="C274" t="str" cm="1">
        <f t="array" aca="1" ref="C274" ca="1">INDEX(Customers[Customer ID],RANDBETWEEN(1,200))</f>
        <v>C065</v>
      </c>
      <c r="D274" t="str" cm="1">
        <f t="array" aca="1" ref="D274" ca="1">INDEX(Products[Product ID],RANDBETWEEN(1,50))</f>
        <v>P013</v>
      </c>
      <c r="E274" t="str" cm="1">
        <f t="array" aca="1" ref="E274" ca="1">INDEX(Warehouses[Warehouse ID],RANDBETWEEN(1,8))</f>
        <v>W008</v>
      </c>
      <c r="F274">
        <f t="shared" ca="1" si="12"/>
        <v>2</v>
      </c>
      <c r="G274">
        <f ca="1">_xlfn.XLOOKUP(Orders[[#This Row],[Product ID]],Products[Product ID],Products[Selling Price])</f>
        <v>25</v>
      </c>
      <c r="H274" s="6">
        <f t="shared" ca="1" si="13"/>
        <v>0.02</v>
      </c>
      <c r="I274">
        <f ca="1">Orders[[#This Row],[Quantity]]*Orders[[#This Row],[Unit Price]]*(1-Orders[[#This Row],[Discount%]])</f>
        <v>49</v>
      </c>
      <c r="J274" t="str" cm="1">
        <f t="array" aca="1" ref="J274" ca="1">INDEX(PaymentMethods[Payment Method],RANDBETWEEN(1,5))</f>
        <v>Cash</v>
      </c>
    </row>
    <row r="275" spans="1:10" x14ac:dyDescent="0.3">
      <c r="A275" t="str">
        <f t="shared" si="14"/>
        <v>O0274</v>
      </c>
      <c r="B275" s="6">
        <f ca="1">Orders[[#This Row],[Discount%]]</f>
        <v>0.17</v>
      </c>
      <c r="C275" t="str" cm="1">
        <f t="array" aca="1" ref="C275" ca="1">INDEX(Customers[Customer ID],RANDBETWEEN(1,200))</f>
        <v>C200</v>
      </c>
      <c r="D275" t="str" cm="1">
        <f t="array" aca="1" ref="D275" ca="1">INDEX(Products[Product ID],RANDBETWEEN(1,50))</f>
        <v>P014</v>
      </c>
      <c r="E275" t="str" cm="1">
        <f t="array" aca="1" ref="E275" ca="1">INDEX(Warehouses[Warehouse ID],RANDBETWEEN(1,8))</f>
        <v>W008</v>
      </c>
      <c r="F275">
        <f t="shared" ca="1" si="12"/>
        <v>1</v>
      </c>
      <c r="G275">
        <f ca="1">_xlfn.XLOOKUP(Orders[[#This Row],[Product ID]],Products[Product ID],Products[Selling Price])</f>
        <v>800</v>
      </c>
      <c r="H275" s="6">
        <f t="shared" ca="1" si="13"/>
        <v>0.17</v>
      </c>
      <c r="I275">
        <f ca="1">Orders[[#This Row],[Quantity]]*Orders[[#This Row],[Unit Price]]*(1-Orders[[#This Row],[Discount%]])</f>
        <v>664</v>
      </c>
      <c r="J275" t="str" cm="1">
        <f t="array" aca="1" ref="J275" ca="1">INDEX(PaymentMethods[Payment Method],RANDBETWEEN(1,5))</f>
        <v>Credit Card</v>
      </c>
    </row>
    <row r="276" spans="1:10" x14ac:dyDescent="0.3">
      <c r="A276" t="str">
        <f t="shared" si="14"/>
        <v>O0275</v>
      </c>
      <c r="B276" s="6">
        <f ca="1">Orders[[#This Row],[Discount%]]</f>
        <v>0.1</v>
      </c>
      <c r="C276" t="str" cm="1">
        <f t="array" aca="1" ref="C276" ca="1">INDEX(Customers[Customer ID],RANDBETWEEN(1,200))</f>
        <v>C139</v>
      </c>
      <c r="D276" t="str" cm="1">
        <f t="array" aca="1" ref="D276" ca="1">INDEX(Products[Product ID],RANDBETWEEN(1,50))</f>
        <v>P024</v>
      </c>
      <c r="E276" t="str" cm="1">
        <f t="array" aca="1" ref="E276" ca="1">INDEX(Warehouses[Warehouse ID],RANDBETWEEN(1,8))</f>
        <v>W006</v>
      </c>
      <c r="F276">
        <f t="shared" ca="1" si="12"/>
        <v>6</v>
      </c>
      <c r="G276">
        <f ca="1">_xlfn.XLOOKUP(Orders[[#This Row],[Product ID]],Products[Product ID],Products[Selling Price])</f>
        <v>1700</v>
      </c>
      <c r="H276" s="6">
        <f t="shared" ca="1" si="13"/>
        <v>0.1</v>
      </c>
      <c r="I276">
        <f ca="1">Orders[[#This Row],[Quantity]]*Orders[[#This Row],[Unit Price]]*(1-Orders[[#This Row],[Discount%]])</f>
        <v>9180</v>
      </c>
      <c r="J276" t="str" cm="1">
        <f t="array" aca="1" ref="J276" ca="1">INDEX(PaymentMethods[Payment Method],RANDBETWEEN(1,5))</f>
        <v>Credit Card</v>
      </c>
    </row>
    <row r="277" spans="1:10" x14ac:dyDescent="0.3">
      <c r="A277" t="str">
        <f t="shared" si="14"/>
        <v>O0276</v>
      </c>
      <c r="B277" s="6">
        <f ca="1">Orders[[#This Row],[Discount%]]</f>
        <v>0.06</v>
      </c>
      <c r="C277" t="str" cm="1">
        <f t="array" aca="1" ref="C277" ca="1">INDEX(Customers[Customer ID],RANDBETWEEN(1,200))</f>
        <v>C166</v>
      </c>
      <c r="D277" t="str" cm="1">
        <f t="array" aca="1" ref="D277" ca="1">INDEX(Products[Product ID],RANDBETWEEN(1,50))</f>
        <v>P049</v>
      </c>
      <c r="E277" t="str" cm="1">
        <f t="array" aca="1" ref="E277" ca="1">INDEX(Warehouses[Warehouse ID],RANDBETWEEN(1,8))</f>
        <v>W005</v>
      </c>
      <c r="F277">
        <f t="shared" ca="1" si="12"/>
        <v>2</v>
      </c>
      <c r="G277">
        <f ca="1">_xlfn.XLOOKUP(Orders[[#This Row],[Product ID]],Products[Product ID],Products[Selling Price])</f>
        <v>3800</v>
      </c>
      <c r="H277" s="6">
        <f t="shared" ca="1" si="13"/>
        <v>0.06</v>
      </c>
      <c r="I277">
        <f ca="1">Orders[[#This Row],[Quantity]]*Orders[[#This Row],[Unit Price]]*(1-Orders[[#This Row],[Discount%]])</f>
        <v>7144</v>
      </c>
      <c r="J277" t="str" cm="1">
        <f t="array" aca="1" ref="J277" ca="1">INDEX(PaymentMethods[Payment Method],RANDBETWEEN(1,5))</f>
        <v>Cash</v>
      </c>
    </row>
    <row r="278" spans="1:10" x14ac:dyDescent="0.3">
      <c r="A278" t="str">
        <f t="shared" si="14"/>
        <v>O0277</v>
      </c>
      <c r="B278" s="6">
        <f ca="1">Orders[[#This Row],[Discount%]]</f>
        <v>0.05</v>
      </c>
      <c r="C278" t="str" cm="1">
        <f t="array" aca="1" ref="C278" ca="1">INDEX(Customers[Customer ID],RANDBETWEEN(1,200))</f>
        <v>C057</v>
      </c>
      <c r="D278" t="str" cm="1">
        <f t="array" aca="1" ref="D278" ca="1">INDEX(Products[Product ID],RANDBETWEEN(1,50))</f>
        <v>P015</v>
      </c>
      <c r="E278" t="str" cm="1">
        <f t="array" aca="1" ref="E278" ca="1">INDEX(Warehouses[Warehouse ID],RANDBETWEEN(1,8))</f>
        <v>W006</v>
      </c>
      <c r="F278">
        <f t="shared" ca="1" si="12"/>
        <v>2</v>
      </c>
      <c r="G278">
        <f ca="1">_xlfn.XLOOKUP(Orders[[#This Row],[Product ID]],Products[Product ID],Products[Selling Price])</f>
        <v>1800</v>
      </c>
      <c r="H278" s="6">
        <f t="shared" ca="1" si="13"/>
        <v>0.05</v>
      </c>
      <c r="I278">
        <f ca="1">Orders[[#This Row],[Quantity]]*Orders[[#This Row],[Unit Price]]*(1-Orders[[#This Row],[Discount%]])</f>
        <v>3420</v>
      </c>
      <c r="J278" t="str" cm="1">
        <f t="array" aca="1" ref="J278" ca="1">INDEX(PaymentMethods[Payment Method],RANDBETWEEN(1,5))</f>
        <v>Credit Card</v>
      </c>
    </row>
    <row r="279" spans="1:10" x14ac:dyDescent="0.3">
      <c r="A279" t="str">
        <f t="shared" si="14"/>
        <v>O0278</v>
      </c>
      <c r="B279" s="6">
        <f ca="1">Orders[[#This Row],[Discount%]]</f>
        <v>0.13</v>
      </c>
      <c r="C279" t="str" cm="1">
        <f t="array" aca="1" ref="C279" ca="1">INDEX(Customers[Customer ID],RANDBETWEEN(1,200))</f>
        <v>C008</v>
      </c>
      <c r="D279" t="str" cm="1">
        <f t="array" aca="1" ref="D279" ca="1">INDEX(Products[Product ID],RANDBETWEEN(1,50))</f>
        <v>P013</v>
      </c>
      <c r="E279" t="str" cm="1">
        <f t="array" aca="1" ref="E279" ca="1">INDEX(Warehouses[Warehouse ID],RANDBETWEEN(1,8))</f>
        <v>W001</v>
      </c>
      <c r="F279">
        <f t="shared" ca="1" si="12"/>
        <v>2</v>
      </c>
      <c r="G279">
        <f ca="1">_xlfn.XLOOKUP(Orders[[#This Row],[Product ID]],Products[Product ID],Products[Selling Price])</f>
        <v>25</v>
      </c>
      <c r="H279" s="6">
        <f t="shared" ca="1" si="13"/>
        <v>0.13</v>
      </c>
      <c r="I279">
        <f ca="1">Orders[[#This Row],[Quantity]]*Orders[[#This Row],[Unit Price]]*(1-Orders[[#This Row],[Discount%]])</f>
        <v>43.5</v>
      </c>
      <c r="J279" t="str" cm="1">
        <f t="array" aca="1" ref="J279" ca="1">INDEX(PaymentMethods[Payment Method],RANDBETWEEN(1,5))</f>
        <v>Net Banking</v>
      </c>
    </row>
    <row r="280" spans="1:10" x14ac:dyDescent="0.3">
      <c r="A280" t="str">
        <f t="shared" si="14"/>
        <v>O0279</v>
      </c>
      <c r="B280" s="6">
        <f ca="1">Orders[[#This Row],[Discount%]]</f>
        <v>0.08</v>
      </c>
      <c r="C280" t="str" cm="1">
        <f t="array" aca="1" ref="C280" ca="1">INDEX(Customers[Customer ID],RANDBETWEEN(1,200))</f>
        <v>C059</v>
      </c>
      <c r="D280" t="str" cm="1">
        <f t="array" aca="1" ref="D280" ca="1">INDEX(Products[Product ID],RANDBETWEEN(1,50))</f>
        <v>P015</v>
      </c>
      <c r="E280" t="str" cm="1">
        <f t="array" aca="1" ref="E280" ca="1">INDEX(Warehouses[Warehouse ID],RANDBETWEEN(1,8))</f>
        <v>W008</v>
      </c>
      <c r="F280">
        <f t="shared" ca="1" si="12"/>
        <v>2</v>
      </c>
      <c r="G280">
        <f ca="1">_xlfn.XLOOKUP(Orders[[#This Row],[Product ID]],Products[Product ID],Products[Selling Price])</f>
        <v>1800</v>
      </c>
      <c r="H280" s="6">
        <f t="shared" ca="1" si="13"/>
        <v>0.08</v>
      </c>
      <c r="I280">
        <f ca="1">Orders[[#This Row],[Quantity]]*Orders[[#This Row],[Unit Price]]*(1-Orders[[#This Row],[Discount%]])</f>
        <v>3312</v>
      </c>
      <c r="J280" t="str" cm="1">
        <f t="array" aca="1" ref="J280" ca="1">INDEX(PaymentMethods[Payment Method],RANDBETWEEN(1,5))</f>
        <v>Debit Card</v>
      </c>
    </row>
    <row r="281" spans="1:10" x14ac:dyDescent="0.3">
      <c r="A281" t="str">
        <f t="shared" si="14"/>
        <v>O0280</v>
      </c>
      <c r="B281" s="6">
        <f ca="1">Orders[[#This Row],[Discount%]]</f>
        <v>0.14000000000000001</v>
      </c>
      <c r="C281" t="str" cm="1">
        <f t="array" aca="1" ref="C281" ca="1">INDEX(Customers[Customer ID],RANDBETWEEN(1,200))</f>
        <v>C023</v>
      </c>
      <c r="D281" t="str" cm="1">
        <f t="array" aca="1" ref="D281" ca="1">INDEX(Products[Product ID],RANDBETWEEN(1,50))</f>
        <v>P005</v>
      </c>
      <c r="E281" t="str" cm="1">
        <f t="array" aca="1" ref="E281" ca="1">INDEX(Warehouses[Warehouse ID],RANDBETWEEN(1,8))</f>
        <v>W006</v>
      </c>
      <c r="F281">
        <f t="shared" ca="1" si="12"/>
        <v>5</v>
      </c>
      <c r="G281">
        <f ca="1">_xlfn.XLOOKUP(Orders[[#This Row],[Product ID]],Products[Product ID],Products[Selling Price])</f>
        <v>10500</v>
      </c>
      <c r="H281" s="6">
        <f t="shared" ca="1" si="13"/>
        <v>0.14000000000000001</v>
      </c>
      <c r="I281">
        <f ca="1">Orders[[#This Row],[Quantity]]*Orders[[#This Row],[Unit Price]]*(1-Orders[[#This Row],[Discount%]])</f>
        <v>45150</v>
      </c>
      <c r="J281" t="str" cm="1">
        <f t="array" aca="1" ref="J281" ca="1">INDEX(PaymentMethods[Payment Method],RANDBETWEEN(1,5))</f>
        <v>Debit Card</v>
      </c>
    </row>
    <row r="282" spans="1:10" x14ac:dyDescent="0.3">
      <c r="A282" t="str">
        <f t="shared" si="14"/>
        <v>O0281</v>
      </c>
      <c r="B282" s="6">
        <f ca="1">Orders[[#This Row],[Discount%]]</f>
        <v>0.04</v>
      </c>
      <c r="C282" t="str" cm="1">
        <f t="array" aca="1" ref="C282" ca="1">INDEX(Customers[Customer ID],RANDBETWEEN(1,200))</f>
        <v>C046</v>
      </c>
      <c r="D282" t="str" cm="1">
        <f t="array" aca="1" ref="D282" ca="1">INDEX(Products[Product ID],RANDBETWEEN(1,50))</f>
        <v>P029</v>
      </c>
      <c r="E282" t="str" cm="1">
        <f t="array" aca="1" ref="E282" ca="1">INDEX(Warehouses[Warehouse ID],RANDBETWEEN(1,8))</f>
        <v>W004</v>
      </c>
      <c r="F282">
        <f t="shared" ca="1" si="12"/>
        <v>1</v>
      </c>
      <c r="G282">
        <f ca="1">_xlfn.XLOOKUP(Orders[[#This Row],[Product ID]],Products[Product ID],Products[Selling Price])</f>
        <v>3200</v>
      </c>
      <c r="H282" s="6">
        <f t="shared" ca="1" si="13"/>
        <v>0.04</v>
      </c>
      <c r="I282">
        <f ca="1">Orders[[#This Row],[Quantity]]*Orders[[#This Row],[Unit Price]]*(1-Orders[[#This Row],[Discount%]])</f>
        <v>3072</v>
      </c>
      <c r="J282" t="str" cm="1">
        <f t="array" aca="1" ref="J282" ca="1">INDEX(PaymentMethods[Payment Method],RANDBETWEEN(1,5))</f>
        <v>Net Banking</v>
      </c>
    </row>
    <row r="283" spans="1:10" x14ac:dyDescent="0.3">
      <c r="A283" t="str">
        <f t="shared" si="14"/>
        <v>O0282</v>
      </c>
      <c r="B283" s="6">
        <f ca="1">Orders[[#This Row],[Discount%]]</f>
        <v>0.04</v>
      </c>
      <c r="C283" t="str" cm="1">
        <f t="array" aca="1" ref="C283" ca="1">INDEX(Customers[Customer ID],RANDBETWEEN(1,200))</f>
        <v>C086</v>
      </c>
      <c r="D283" t="str" cm="1">
        <f t="array" aca="1" ref="D283" ca="1">INDEX(Products[Product ID],RANDBETWEEN(1,50))</f>
        <v>P010</v>
      </c>
      <c r="E283" t="str" cm="1">
        <f t="array" aca="1" ref="E283" ca="1">INDEX(Warehouses[Warehouse ID],RANDBETWEEN(1,8))</f>
        <v>W001</v>
      </c>
      <c r="F283">
        <f t="shared" ca="1" si="12"/>
        <v>1</v>
      </c>
      <c r="G283">
        <f ca="1">_xlfn.XLOOKUP(Orders[[#This Row],[Product ID]],Products[Product ID],Products[Selling Price])</f>
        <v>250</v>
      </c>
      <c r="H283" s="6">
        <f t="shared" ca="1" si="13"/>
        <v>0.04</v>
      </c>
      <c r="I283">
        <f ca="1">Orders[[#This Row],[Quantity]]*Orders[[#This Row],[Unit Price]]*(1-Orders[[#This Row],[Discount%]])</f>
        <v>240</v>
      </c>
      <c r="J283" t="str" cm="1">
        <f t="array" aca="1" ref="J283" ca="1">INDEX(PaymentMethods[Payment Method],RANDBETWEEN(1,5))</f>
        <v>UPI</v>
      </c>
    </row>
    <row r="284" spans="1:10" x14ac:dyDescent="0.3">
      <c r="A284" t="str">
        <f t="shared" si="14"/>
        <v>O0283</v>
      </c>
      <c r="B284" s="6">
        <f ca="1">Orders[[#This Row],[Discount%]]</f>
        <v>0.08</v>
      </c>
      <c r="C284" t="str" cm="1">
        <f t="array" aca="1" ref="C284" ca="1">INDEX(Customers[Customer ID],RANDBETWEEN(1,200))</f>
        <v>C133</v>
      </c>
      <c r="D284" t="str" cm="1">
        <f t="array" aca="1" ref="D284" ca="1">INDEX(Products[Product ID],RANDBETWEEN(1,50))</f>
        <v>P021</v>
      </c>
      <c r="E284" t="str" cm="1">
        <f t="array" aca="1" ref="E284" ca="1">INDEX(Warehouses[Warehouse ID],RANDBETWEEN(1,8))</f>
        <v>W004</v>
      </c>
      <c r="F284">
        <f t="shared" ca="1" si="12"/>
        <v>8</v>
      </c>
      <c r="G284">
        <f ca="1">_xlfn.XLOOKUP(Orders[[#This Row],[Product ID]],Products[Product ID],Products[Selling Price])</f>
        <v>22000</v>
      </c>
      <c r="H284" s="6">
        <f t="shared" ca="1" si="13"/>
        <v>0.08</v>
      </c>
      <c r="I284">
        <f ca="1">Orders[[#This Row],[Quantity]]*Orders[[#This Row],[Unit Price]]*(1-Orders[[#This Row],[Discount%]])</f>
        <v>161920</v>
      </c>
      <c r="J284" t="str" cm="1">
        <f t="array" aca="1" ref="J284" ca="1">INDEX(PaymentMethods[Payment Method],RANDBETWEEN(1,5))</f>
        <v>Debit Card</v>
      </c>
    </row>
    <row r="285" spans="1:10" x14ac:dyDescent="0.3">
      <c r="A285" t="str">
        <f t="shared" si="14"/>
        <v>O0284</v>
      </c>
      <c r="B285" s="6">
        <f ca="1">Orders[[#This Row],[Discount%]]</f>
        <v>0.08</v>
      </c>
      <c r="C285" t="str" cm="1">
        <f t="array" aca="1" ref="C285" ca="1">INDEX(Customers[Customer ID],RANDBETWEEN(1,200))</f>
        <v>C083</v>
      </c>
      <c r="D285" t="str" cm="1">
        <f t="array" aca="1" ref="D285" ca="1">INDEX(Products[Product ID],RANDBETWEEN(1,50))</f>
        <v>P027</v>
      </c>
      <c r="E285" t="str" cm="1">
        <f t="array" aca="1" ref="E285" ca="1">INDEX(Warehouses[Warehouse ID],RANDBETWEEN(1,8))</f>
        <v>W002</v>
      </c>
      <c r="F285">
        <f t="shared" ca="1" si="12"/>
        <v>8</v>
      </c>
      <c r="G285">
        <f ca="1">_xlfn.XLOOKUP(Orders[[#This Row],[Product ID]],Products[Product ID],Products[Selling Price])</f>
        <v>4000</v>
      </c>
      <c r="H285" s="6">
        <f t="shared" ca="1" si="13"/>
        <v>0.08</v>
      </c>
      <c r="I285">
        <f ca="1">Orders[[#This Row],[Quantity]]*Orders[[#This Row],[Unit Price]]*(1-Orders[[#This Row],[Discount%]])</f>
        <v>29440</v>
      </c>
      <c r="J285" t="str" cm="1">
        <f t="array" aca="1" ref="J285" ca="1">INDEX(PaymentMethods[Payment Method],RANDBETWEEN(1,5))</f>
        <v>Credit Card</v>
      </c>
    </row>
    <row r="286" spans="1:10" x14ac:dyDescent="0.3">
      <c r="A286" t="str">
        <f t="shared" si="14"/>
        <v>O0285</v>
      </c>
      <c r="B286" s="6">
        <f ca="1">Orders[[#This Row],[Discount%]]</f>
        <v>0.08</v>
      </c>
      <c r="C286" t="str" cm="1">
        <f t="array" aca="1" ref="C286" ca="1">INDEX(Customers[Customer ID],RANDBETWEEN(1,200))</f>
        <v>C084</v>
      </c>
      <c r="D286" t="str" cm="1">
        <f t="array" aca="1" ref="D286" ca="1">INDEX(Products[Product ID],RANDBETWEEN(1,50))</f>
        <v>P004</v>
      </c>
      <c r="E286" t="str" cm="1">
        <f t="array" aca="1" ref="E286" ca="1">INDEX(Warehouses[Warehouse ID],RANDBETWEEN(1,8))</f>
        <v>W001</v>
      </c>
      <c r="F286">
        <f t="shared" ca="1" si="12"/>
        <v>2</v>
      </c>
      <c r="G286">
        <f ca="1">_xlfn.XLOOKUP(Orders[[#This Row],[Product ID]],Products[Product ID],Products[Selling Price])</f>
        <v>9000</v>
      </c>
      <c r="H286" s="6">
        <f t="shared" ca="1" si="13"/>
        <v>0.08</v>
      </c>
      <c r="I286">
        <f ca="1">Orders[[#This Row],[Quantity]]*Orders[[#This Row],[Unit Price]]*(1-Orders[[#This Row],[Discount%]])</f>
        <v>16560</v>
      </c>
      <c r="J286" t="str" cm="1">
        <f t="array" aca="1" ref="J286" ca="1">INDEX(PaymentMethods[Payment Method],RANDBETWEEN(1,5))</f>
        <v>Cash</v>
      </c>
    </row>
    <row r="287" spans="1:10" x14ac:dyDescent="0.3">
      <c r="A287" t="str">
        <f t="shared" si="14"/>
        <v>O0286</v>
      </c>
      <c r="B287" s="6">
        <f ca="1">Orders[[#This Row],[Discount%]]</f>
        <v>0.03</v>
      </c>
      <c r="C287" t="str" cm="1">
        <f t="array" aca="1" ref="C287" ca="1">INDEX(Customers[Customer ID],RANDBETWEEN(1,200))</f>
        <v>C136</v>
      </c>
      <c r="D287" t="str" cm="1">
        <f t="array" aca="1" ref="D287" ca="1">INDEX(Products[Product ID],RANDBETWEEN(1,50))</f>
        <v>P012</v>
      </c>
      <c r="E287" t="str" cm="1">
        <f t="array" aca="1" ref="E287" ca="1">INDEX(Warehouses[Warehouse ID],RANDBETWEEN(1,8))</f>
        <v>W004</v>
      </c>
      <c r="F287">
        <f t="shared" ca="1" si="12"/>
        <v>9</v>
      </c>
      <c r="G287">
        <f ca="1">_xlfn.XLOOKUP(Orders[[#This Row],[Product ID]],Products[Product ID],Products[Selling Price])</f>
        <v>80</v>
      </c>
      <c r="H287" s="6">
        <f t="shared" ca="1" si="13"/>
        <v>0.03</v>
      </c>
      <c r="I287">
        <f ca="1">Orders[[#This Row],[Quantity]]*Orders[[#This Row],[Unit Price]]*(1-Orders[[#This Row],[Discount%]])</f>
        <v>698.4</v>
      </c>
      <c r="J287" t="str" cm="1">
        <f t="array" aca="1" ref="J287" ca="1">INDEX(PaymentMethods[Payment Method],RANDBETWEEN(1,5))</f>
        <v>Credit Card</v>
      </c>
    </row>
    <row r="288" spans="1:10" x14ac:dyDescent="0.3">
      <c r="A288" t="str">
        <f t="shared" si="14"/>
        <v>O0287</v>
      </c>
      <c r="B288" s="6">
        <f ca="1">Orders[[#This Row],[Discount%]]</f>
        <v>0.17</v>
      </c>
      <c r="C288" t="str" cm="1">
        <f t="array" aca="1" ref="C288" ca="1">INDEX(Customers[Customer ID],RANDBETWEEN(1,200))</f>
        <v>C052</v>
      </c>
      <c r="D288" t="str" cm="1">
        <f t="array" aca="1" ref="D288" ca="1">INDEX(Products[Product ID],RANDBETWEEN(1,50))</f>
        <v>P020</v>
      </c>
      <c r="E288" t="str" cm="1">
        <f t="array" aca="1" ref="E288" ca="1">INDEX(Warehouses[Warehouse ID],RANDBETWEEN(1,8))</f>
        <v>W007</v>
      </c>
      <c r="F288">
        <f t="shared" ca="1" si="12"/>
        <v>2</v>
      </c>
      <c r="G288">
        <f ca="1">_xlfn.XLOOKUP(Orders[[#This Row],[Product ID]],Products[Product ID],Products[Selling Price])</f>
        <v>450</v>
      </c>
      <c r="H288" s="6">
        <f t="shared" ca="1" si="13"/>
        <v>0.17</v>
      </c>
      <c r="I288">
        <f ca="1">Orders[[#This Row],[Quantity]]*Orders[[#This Row],[Unit Price]]*(1-Orders[[#This Row],[Discount%]])</f>
        <v>747</v>
      </c>
      <c r="J288" t="str" cm="1">
        <f t="array" aca="1" ref="J288" ca="1">INDEX(PaymentMethods[Payment Method],RANDBETWEEN(1,5))</f>
        <v>UPI</v>
      </c>
    </row>
    <row r="289" spans="1:10" x14ac:dyDescent="0.3">
      <c r="A289" t="str">
        <f t="shared" si="14"/>
        <v>O0288</v>
      </c>
      <c r="B289" s="6">
        <f ca="1">Orders[[#This Row],[Discount%]]</f>
        <v>0.18</v>
      </c>
      <c r="C289" t="str" cm="1">
        <f t="array" aca="1" ref="C289" ca="1">INDEX(Customers[Customer ID],RANDBETWEEN(1,200))</f>
        <v>C185</v>
      </c>
      <c r="D289" t="str" cm="1">
        <f t="array" aca="1" ref="D289" ca="1">INDEX(Products[Product ID],RANDBETWEEN(1,50))</f>
        <v>P041</v>
      </c>
      <c r="E289" t="str" cm="1">
        <f t="array" aca="1" ref="E289" ca="1">INDEX(Warehouses[Warehouse ID],RANDBETWEEN(1,8))</f>
        <v>W003</v>
      </c>
      <c r="F289">
        <f t="shared" ca="1" si="12"/>
        <v>9</v>
      </c>
      <c r="G289">
        <f ca="1">_xlfn.XLOOKUP(Orders[[#This Row],[Product ID]],Products[Product ID],Products[Selling Price])</f>
        <v>36000</v>
      </c>
      <c r="H289" s="6">
        <f t="shared" ca="1" si="13"/>
        <v>0.18</v>
      </c>
      <c r="I289">
        <f ca="1">Orders[[#This Row],[Quantity]]*Orders[[#This Row],[Unit Price]]*(1-Orders[[#This Row],[Discount%]])</f>
        <v>265680</v>
      </c>
      <c r="J289" t="str" cm="1">
        <f t="array" aca="1" ref="J289" ca="1">INDEX(PaymentMethods[Payment Method],RANDBETWEEN(1,5))</f>
        <v>Debit Card</v>
      </c>
    </row>
    <row r="290" spans="1:10" x14ac:dyDescent="0.3">
      <c r="A290" t="str">
        <f t="shared" si="14"/>
        <v>O0289</v>
      </c>
      <c r="B290" s="6">
        <f ca="1">Orders[[#This Row],[Discount%]]</f>
        <v>0.2</v>
      </c>
      <c r="C290" t="str" cm="1">
        <f t="array" aca="1" ref="C290" ca="1">INDEX(Customers[Customer ID],RANDBETWEEN(1,200))</f>
        <v>C106</v>
      </c>
      <c r="D290" t="str" cm="1">
        <f t="array" aca="1" ref="D290" ca="1">INDEX(Products[Product ID],RANDBETWEEN(1,50))</f>
        <v>P016</v>
      </c>
      <c r="E290" t="str" cm="1">
        <f t="array" aca="1" ref="E290" ca="1">INDEX(Warehouses[Warehouse ID],RANDBETWEEN(1,8))</f>
        <v>W006</v>
      </c>
      <c r="F290">
        <f t="shared" ca="1" si="12"/>
        <v>6</v>
      </c>
      <c r="G290">
        <f ca="1">_xlfn.XLOOKUP(Orders[[#This Row],[Product ID]],Products[Product ID],Products[Selling Price])</f>
        <v>2500</v>
      </c>
      <c r="H290" s="6">
        <f t="shared" ca="1" si="13"/>
        <v>0.2</v>
      </c>
      <c r="I290">
        <f ca="1">Orders[[#This Row],[Quantity]]*Orders[[#This Row],[Unit Price]]*(1-Orders[[#This Row],[Discount%]])</f>
        <v>12000</v>
      </c>
      <c r="J290" t="str" cm="1">
        <f t="array" aca="1" ref="J290" ca="1">INDEX(PaymentMethods[Payment Method],RANDBETWEEN(1,5))</f>
        <v>UPI</v>
      </c>
    </row>
    <row r="291" spans="1:10" x14ac:dyDescent="0.3">
      <c r="A291" t="str">
        <f t="shared" si="14"/>
        <v>O0290</v>
      </c>
      <c r="B291" s="6">
        <f ca="1">Orders[[#This Row],[Discount%]]</f>
        <v>0.03</v>
      </c>
      <c r="C291" t="str" cm="1">
        <f t="array" aca="1" ref="C291" ca="1">INDEX(Customers[Customer ID],RANDBETWEEN(1,200))</f>
        <v>C021</v>
      </c>
      <c r="D291" t="str" cm="1">
        <f t="array" aca="1" ref="D291" ca="1">INDEX(Products[Product ID],RANDBETWEEN(1,50))</f>
        <v>P026</v>
      </c>
      <c r="E291" t="str" cm="1">
        <f t="array" aca="1" ref="E291" ca="1">INDEX(Warehouses[Warehouse ID],RANDBETWEEN(1,8))</f>
        <v>W001</v>
      </c>
      <c r="F291">
        <f t="shared" ca="1" si="12"/>
        <v>5</v>
      </c>
      <c r="G291">
        <f ca="1">_xlfn.XLOOKUP(Orders[[#This Row],[Product ID]],Products[Product ID],Products[Selling Price])</f>
        <v>650</v>
      </c>
      <c r="H291" s="6">
        <f t="shared" ca="1" si="13"/>
        <v>0.03</v>
      </c>
      <c r="I291">
        <f ca="1">Orders[[#This Row],[Quantity]]*Orders[[#This Row],[Unit Price]]*(1-Orders[[#This Row],[Discount%]])</f>
        <v>3152.5</v>
      </c>
      <c r="J291" t="str" cm="1">
        <f t="array" aca="1" ref="J291" ca="1">INDEX(PaymentMethods[Payment Method],RANDBETWEEN(1,5))</f>
        <v>Credit Card</v>
      </c>
    </row>
    <row r="292" spans="1:10" x14ac:dyDescent="0.3">
      <c r="A292" t="str">
        <f t="shared" si="14"/>
        <v>O0291</v>
      </c>
      <c r="B292" s="6">
        <f ca="1">Orders[[#This Row],[Discount%]]</f>
        <v>0.15</v>
      </c>
      <c r="C292" t="str" cm="1">
        <f t="array" aca="1" ref="C292" ca="1">INDEX(Customers[Customer ID],RANDBETWEEN(1,200))</f>
        <v>C064</v>
      </c>
      <c r="D292" t="str" cm="1">
        <f t="array" aca="1" ref="D292" ca="1">INDEX(Products[Product ID],RANDBETWEEN(1,50))</f>
        <v>P023</v>
      </c>
      <c r="E292" t="str" cm="1">
        <f t="array" aca="1" ref="E292" ca="1">INDEX(Warehouses[Warehouse ID],RANDBETWEEN(1,8))</f>
        <v>W007</v>
      </c>
      <c r="F292">
        <f t="shared" ca="1" si="12"/>
        <v>6</v>
      </c>
      <c r="G292">
        <f ca="1">_xlfn.XLOOKUP(Orders[[#This Row],[Product ID]],Products[Product ID],Products[Selling Price])</f>
        <v>2300</v>
      </c>
      <c r="H292" s="6">
        <f t="shared" ca="1" si="13"/>
        <v>0.15</v>
      </c>
      <c r="I292">
        <f ca="1">Orders[[#This Row],[Quantity]]*Orders[[#This Row],[Unit Price]]*(1-Orders[[#This Row],[Discount%]])</f>
        <v>11730</v>
      </c>
      <c r="J292" t="str" cm="1">
        <f t="array" aca="1" ref="J292" ca="1">INDEX(PaymentMethods[Payment Method],RANDBETWEEN(1,5))</f>
        <v>Cash</v>
      </c>
    </row>
    <row r="293" spans="1:10" x14ac:dyDescent="0.3">
      <c r="A293" t="str">
        <f t="shared" si="14"/>
        <v>O0292</v>
      </c>
      <c r="B293" s="6">
        <f ca="1">Orders[[#This Row],[Discount%]]</f>
        <v>0.2</v>
      </c>
      <c r="C293" t="str" cm="1">
        <f t="array" aca="1" ref="C293" ca="1">INDEX(Customers[Customer ID],RANDBETWEEN(1,200))</f>
        <v>C103</v>
      </c>
      <c r="D293" t="str" cm="1">
        <f t="array" aca="1" ref="D293" ca="1">INDEX(Products[Product ID],RANDBETWEEN(1,50))</f>
        <v>P048</v>
      </c>
      <c r="E293" t="str" cm="1">
        <f t="array" aca="1" ref="E293" ca="1">INDEX(Warehouses[Warehouse ID],RANDBETWEEN(1,8))</f>
        <v>W004</v>
      </c>
      <c r="F293">
        <f t="shared" ca="1" si="12"/>
        <v>9</v>
      </c>
      <c r="G293">
        <f ca="1">_xlfn.XLOOKUP(Orders[[#This Row],[Product ID]],Products[Product ID],Products[Selling Price])</f>
        <v>1200</v>
      </c>
      <c r="H293" s="6">
        <f t="shared" ca="1" si="13"/>
        <v>0.2</v>
      </c>
      <c r="I293">
        <f ca="1">Orders[[#This Row],[Quantity]]*Orders[[#This Row],[Unit Price]]*(1-Orders[[#This Row],[Discount%]])</f>
        <v>8640</v>
      </c>
      <c r="J293" t="str" cm="1">
        <f t="array" aca="1" ref="J293" ca="1">INDEX(PaymentMethods[Payment Method],RANDBETWEEN(1,5))</f>
        <v>UPI</v>
      </c>
    </row>
    <row r="294" spans="1:10" x14ac:dyDescent="0.3">
      <c r="A294" t="str">
        <f t="shared" si="14"/>
        <v>O0293</v>
      </c>
      <c r="B294" s="6">
        <f ca="1">Orders[[#This Row],[Discount%]]</f>
        <v>0.08</v>
      </c>
      <c r="C294" t="str" cm="1">
        <f t="array" aca="1" ref="C294" ca="1">INDEX(Customers[Customer ID],RANDBETWEEN(1,200))</f>
        <v>C024</v>
      </c>
      <c r="D294" t="str" cm="1">
        <f t="array" aca="1" ref="D294" ca="1">INDEX(Products[Product ID],RANDBETWEEN(1,50))</f>
        <v>P029</v>
      </c>
      <c r="E294" t="str" cm="1">
        <f t="array" aca="1" ref="E294" ca="1">INDEX(Warehouses[Warehouse ID],RANDBETWEEN(1,8))</f>
        <v>W005</v>
      </c>
      <c r="F294">
        <f t="shared" ca="1" si="12"/>
        <v>7</v>
      </c>
      <c r="G294">
        <f ca="1">_xlfn.XLOOKUP(Orders[[#This Row],[Product ID]],Products[Product ID],Products[Selling Price])</f>
        <v>3200</v>
      </c>
      <c r="H294" s="6">
        <f t="shared" ca="1" si="13"/>
        <v>0.08</v>
      </c>
      <c r="I294">
        <f ca="1">Orders[[#This Row],[Quantity]]*Orders[[#This Row],[Unit Price]]*(1-Orders[[#This Row],[Discount%]])</f>
        <v>20608</v>
      </c>
      <c r="J294" t="str" cm="1">
        <f t="array" aca="1" ref="J294" ca="1">INDEX(PaymentMethods[Payment Method],RANDBETWEEN(1,5))</f>
        <v>Debit Card</v>
      </c>
    </row>
    <row r="295" spans="1:10" x14ac:dyDescent="0.3">
      <c r="A295" t="str">
        <f t="shared" si="14"/>
        <v>O0294</v>
      </c>
      <c r="B295" s="6">
        <f ca="1">Orders[[#This Row],[Discount%]]</f>
        <v>0.18</v>
      </c>
      <c r="C295" t="str" cm="1">
        <f t="array" aca="1" ref="C295" ca="1">INDEX(Customers[Customer ID],RANDBETWEEN(1,200))</f>
        <v>C050</v>
      </c>
      <c r="D295" t="str" cm="1">
        <f t="array" aca="1" ref="D295" ca="1">INDEX(Products[Product ID],RANDBETWEEN(1,50))</f>
        <v>P011</v>
      </c>
      <c r="E295" t="str" cm="1">
        <f t="array" aca="1" ref="E295" ca="1">INDEX(Warehouses[Warehouse ID],RANDBETWEEN(1,8))</f>
        <v>W002</v>
      </c>
      <c r="F295">
        <f t="shared" ca="1" si="12"/>
        <v>5</v>
      </c>
      <c r="G295">
        <f ca="1">_xlfn.XLOOKUP(Orders[[#This Row],[Product ID]],Products[Product ID],Products[Selling Price])</f>
        <v>1200</v>
      </c>
      <c r="H295" s="6">
        <f t="shared" ca="1" si="13"/>
        <v>0.18</v>
      </c>
      <c r="I295">
        <f ca="1">Orders[[#This Row],[Quantity]]*Orders[[#This Row],[Unit Price]]*(1-Orders[[#This Row],[Discount%]])</f>
        <v>4920</v>
      </c>
      <c r="J295" t="str" cm="1">
        <f t="array" aca="1" ref="J295" ca="1">INDEX(PaymentMethods[Payment Method],RANDBETWEEN(1,5))</f>
        <v>Cash</v>
      </c>
    </row>
    <row r="296" spans="1:10" x14ac:dyDescent="0.3">
      <c r="A296" t="str">
        <f t="shared" si="14"/>
        <v>O0295</v>
      </c>
      <c r="B296" s="6">
        <f ca="1">Orders[[#This Row],[Discount%]]</f>
        <v>0.19</v>
      </c>
      <c r="C296" t="str" cm="1">
        <f t="array" aca="1" ref="C296" ca="1">INDEX(Customers[Customer ID],RANDBETWEEN(1,200))</f>
        <v>C034</v>
      </c>
      <c r="D296" t="str" cm="1">
        <f t="array" aca="1" ref="D296" ca="1">INDEX(Products[Product ID],RANDBETWEEN(1,50))</f>
        <v>P050</v>
      </c>
      <c r="E296" t="str" cm="1">
        <f t="array" aca="1" ref="E296" ca="1">INDEX(Warehouses[Warehouse ID],RANDBETWEEN(1,8))</f>
        <v>W003</v>
      </c>
      <c r="F296">
        <f t="shared" ca="1" si="12"/>
        <v>6</v>
      </c>
      <c r="G296">
        <f ca="1">_xlfn.XLOOKUP(Orders[[#This Row],[Product ID]],Products[Product ID],Products[Selling Price])</f>
        <v>12000</v>
      </c>
      <c r="H296" s="6">
        <f t="shared" ca="1" si="13"/>
        <v>0.19</v>
      </c>
      <c r="I296">
        <f ca="1">Orders[[#This Row],[Quantity]]*Orders[[#This Row],[Unit Price]]*(1-Orders[[#This Row],[Discount%]])</f>
        <v>58320.000000000007</v>
      </c>
      <c r="J296" t="str" cm="1">
        <f t="array" aca="1" ref="J296" ca="1">INDEX(PaymentMethods[Payment Method],RANDBETWEEN(1,5))</f>
        <v>Debit Card</v>
      </c>
    </row>
    <row r="297" spans="1:10" x14ac:dyDescent="0.3">
      <c r="A297" t="str">
        <f t="shared" si="14"/>
        <v>O0296</v>
      </c>
      <c r="B297" s="6">
        <f ca="1">Orders[[#This Row],[Discount%]]</f>
        <v>0.04</v>
      </c>
      <c r="C297" t="str" cm="1">
        <f t="array" aca="1" ref="C297" ca="1">INDEX(Customers[Customer ID],RANDBETWEEN(1,200))</f>
        <v>C003</v>
      </c>
      <c r="D297" t="str" cm="1">
        <f t="array" aca="1" ref="D297" ca="1">INDEX(Products[Product ID],RANDBETWEEN(1,50))</f>
        <v>P011</v>
      </c>
      <c r="E297" t="str" cm="1">
        <f t="array" aca="1" ref="E297" ca="1">INDEX(Warehouses[Warehouse ID],RANDBETWEEN(1,8))</f>
        <v>W002</v>
      </c>
      <c r="F297">
        <f t="shared" ca="1" si="12"/>
        <v>8</v>
      </c>
      <c r="G297">
        <f ca="1">_xlfn.XLOOKUP(Orders[[#This Row],[Product ID]],Products[Product ID],Products[Selling Price])</f>
        <v>1200</v>
      </c>
      <c r="H297" s="6">
        <f t="shared" ca="1" si="13"/>
        <v>0.04</v>
      </c>
      <c r="I297">
        <f ca="1">Orders[[#This Row],[Quantity]]*Orders[[#This Row],[Unit Price]]*(1-Orders[[#This Row],[Discount%]])</f>
        <v>9216</v>
      </c>
      <c r="J297" t="str" cm="1">
        <f t="array" aca="1" ref="J297" ca="1">INDEX(PaymentMethods[Payment Method],RANDBETWEEN(1,5))</f>
        <v>Cash</v>
      </c>
    </row>
    <row r="298" spans="1:10" x14ac:dyDescent="0.3">
      <c r="A298" t="str">
        <f t="shared" si="14"/>
        <v>O0297</v>
      </c>
      <c r="B298" s="6">
        <f ca="1">Orders[[#This Row],[Discount%]]</f>
        <v>0.14000000000000001</v>
      </c>
      <c r="C298" t="str" cm="1">
        <f t="array" aca="1" ref="C298" ca="1">INDEX(Customers[Customer ID],RANDBETWEEN(1,200))</f>
        <v>C153</v>
      </c>
      <c r="D298" t="str" cm="1">
        <f t="array" aca="1" ref="D298" ca="1">INDEX(Products[Product ID],RANDBETWEEN(1,50))</f>
        <v>P021</v>
      </c>
      <c r="E298" t="str" cm="1">
        <f t="array" aca="1" ref="E298" ca="1">INDEX(Warehouses[Warehouse ID],RANDBETWEEN(1,8))</f>
        <v>W007</v>
      </c>
      <c r="F298">
        <f t="shared" ca="1" si="12"/>
        <v>6</v>
      </c>
      <c r="G298">
        <f ca="1">_xlfn.XLOOKUP(Orders[[#This Row],[Product ID]],Products[Product ID],Products[Selling Price])</f>
        <v>22000</v>
      </c>
      <c r="H298" s="6">
        <f t="shared" ca="1" si="13"/>
        <v>0.14000000000000001</v>
      </c>
      <c r="I298">
        <f ca="1">Orders[[#This Row],[Quantity]]*Orders[[#This Row],[Unit Price]]*(1-Orders[[#This Row],[Discount%]])</f>
        <v>113520</v>
      </c>
      <c r="J298" t="str" cm="1">
        <f t="array" aca="1" ref="J298" ca="1">INDEX(PaymentMethods[Payment Method],RANDBETWEEN(1,5))</f>
        <v>UPI</v>
      </c>
    </row>
    <row r="299" spans="1:10" x14ac:dyDescent="0.3">
      <c r="A299" t="str">
        <f t="shared" si="14"/>
        <v>O0298</v>
      </c>
      <c r="B299" s="6">
        <f ca="1">Orders[[#This Row],[Discount%]]</f>
        <v>0.03</v>
      </c>
      <c r="C299" t="str" cm="1">
        <f t="array" aca="1" ref="C299" ca="1">INDEX(Customers[Customer ID],RANDBETWEEN(1,200))</f>
        <v>C036</v>
      </c>
      <c r="D299" t="str" cm="1">
        <f t="array" aca="1" ref="D299" ca="1">INDEX(Products[Product ID],RANDBETWEEN(1,50))</f>
        <v>P049</v>
      </c>
      <c r="E299" t="str" cm="1">
        <f t="array" aca="1" ref="E299" ca="1">INDEX(Warehouses[Warehouse ID],RANDBETWEEN(1,8))</f>
        <v>W004</v>
      </c>
      <c r="F299">
        <f t="shared" ca="1" si="12"/>
        <v>2</v>
      </c>
      <c r="G299">
        <f ca="1">_xlfn.XLOOKUP(Orders[[#This Row],[Product ID]],Products[Product ID],Products[Selling Price])</f>
        <v>3800</v>
      </c>
      <c r="H299" s="6">
        <f t="shared" ca="1" si="13"/>
        <v>0.03</v>
      </c>
      <c r="I299">
        <f ca="1">Orders[[#This Row],[Quantity]]*Orders[[#This Row],[Unit Price]]*(1-Orders[[#This Row],[Discount%]])</f>
        <v>7372</v>
      </c>
      <c r="J299" t="str" cm="1">
        <f t="array" aca="1" ref="J299" ca="1">INDEX(PaymentMethods[Payment Method],RANDBETWEEN(1,5))</f>
        <v>Debit Card</v>
      </c>
    </row>
    <row r="300" spans="1:10" x14ac:dyDescent="0.3">
      <c r="A300" t="str">
        <f t="shared" si="14"/>
        <v>O0299</v>
      </c>
      <c r="B300" s="6">
        <f ca="1">Orders[[#This Row],[Discount%]]</f>
        <v>0.18</v>
      </c>
      <c r="C300" t="str" cm="1">
        <f t="array" aca="1" ref="C300" ca="1">INDEX(Customers[Customer ID],RANDBETWEEN(1,200))</f>
        <v>C045</v>
      </c>
      <c r="D300" t="str" cm="1">
        <f t="array" aca="1" ref="D300" ca="1">INDEX(Products[Product ID],RANDBETWEEN(1,50))</f>
        <v>P018</v>
      </c>
      <c r="E300" t="str" cm="1">
        <f t="array" aca="1" ref="E300" ca="1">INDEX(Warehouses[Warehouse ID],RANDBETWEEN(1,8))</f>
        <v>W008</v>
      </c>
      <c r="F300">
        <f t="shared" ca="1" si="12"/>
        <v>5</v>
      </c>
      <c r="G300">
        <f ca="1">_xlfn.XLOOKUP(Orders[[#This Row],[Product ID]],Products[Product ID],Products[Selling Price])</f>
        <v>1500</v>
      </c>
      <c r="H300" s="6">
        <f t="shared" ca="1" si="13"/>
        <v>0.18</v>
      </c>
      <c r="I300">
        <f ca="1">Orders[[#This Row],[Quantity]]*Orders[[#This Row],[Unit Price]]*(1-Orders[[#This Row],[Discount%]])</f>
        <v>6150.0000000000009</v>
      </c>
      <c r="J300" t="str" cm="1">
        <f t="array" aca="1" ref="J300" ca="1">INDEX(PaymentMethods[Payment Method],RANDBETWEEN(1,5))</f>
        <v>Cash</v>
      </c>
    </row>
    <row r="301" spans="1:10" x14ac:dyDescent="0.3">
      <c r="A301" t="str">
        <f t="shared" si="14"/>
        <v>O0300</v>
      </c>
      <c r="B301" s="6">
        <f ca="1">Orders[[#This Row],[Discount%]]</f>
        <v>0.08</v>
      </c>
      <c r="C301" t="str" cm="1">
        <f t="array" aca="1" ref="C301" ca="1">INDEX(Customers[Customer ID],RANDBETWEEN(1,200))</f>
        <v>C194</v>
      </c>
      <c r="D301" t="str" cm="1">
        <f t="array" aca="1" ref="D301" ca="1">INDEX(Products[Product ID],RANDBETWEEN(1,50))</f>
        <v>P028</v>
      </c>
      <c r="E301" t="str" cm="1">
        <f t="array" aca="1" ref="E301" ca="1">INDEX(Warehouses[Warehouse ID],RANDBETWEEN(1,8))</f>
        <v>W005</v>
      </c>
      <c r="F301">
        <f t="shared" ca="1" si="12"/>
        <v>3</v>
      </c>
      <c r="G301">
        <f ca="1">_xlfn.XLOOKUP(Orders[[#This Row],[Product ID]],Products[Product ID],Products[Selling Price])</f>
        <v>16500</v>
      </c>
      <c r="H301" s="6">
        <f t="shared" ca="1" si="13"/>
        <v>0.08</v>
      </c>
      <c r="I301">
        <f ca="1">Orders[[#This Row],[Quantity]]*Orders[[#This Row],[Unit Price]]*(1-Orders[[#This Row],[Discount%]])</f>
        <v>45540</v>
      </c>
      <c r="J301" t="str" cm="1">
        <f t="array" aca="1" ref="J301" ca="1">INDEX(PaymentMethods[Payment Method],RANDBETWEEN(1,5))</f>
        <v>Net Banking</v>
      </c>
    </row>
    <row r="302" spans="1:10" x14ac:dyDescent="0.3">
      <c r="A302" t="str">
        <f t="shared" si="14"/>
        <v>O0301</v>
      </c>
      <c r="B302" s="6">
        <f ca="1">Orders[[#This Row],[Discount%]]</f>
        <v>0.11</v>
      </c>
      <c r="C302" t="str" cm="1">
        <f t="array" aca="1" ref="C302" ca="1">INDEX(Customers[Customer ID],RANDBETWEEN(1,200))</f>
        <v>C155</v>
      </c>
      <c r="D302" t="str" cm="1">
        <f t="array" aca="1" ref="D302" ca="1">INDEX(Products[Product ID],RANDBETWEEN(1,50))</f>
        <v>P006</v>
      </c>
      <c r="E302" t="str" cm="1">
        <f t="array" aca="1" ref="E302" ca="1">INDEX(Warehouses[Warehouse ID],RANDBETWEEN(1,8))</f>
        <v>W007</v>
      </c>
      <c r="F302">
        <f t="shared" ca="1" si="12"/>
        <v>2</v>
      </c>
      <c r="G302">
        <f ca="1">_xlfn.XLOOKUP(Orders[[#This Row],[Product ID]],Products[Product ID],Products[Selling Price])</f>
        <v>3500</v>
      </c>
      <c r="H302" s="6">
        <f t="shared" ca="1" si="13"/>
        <v>0.11</v>
      </c>
      <c r="I302">
        <f ca="1">Orders[[#This Row],[Quantity]]*Orders[[#This Row],[Unit Price]]*(1-Orders[[#This Row],[Discount%]])</f>
        <v>6230</v>
      </c>
      <c r="J302" t="str" cm="1">
        <f t="array" aca="1" ref="J302" ca="1">INDEX(PaymentMethods[Payment Method],RANDBETWEEN(1,5))</f>
        <v>Cash</v>
      </c>
    </row>
    <row r="303" spans="1:10" x14ac:dyDescent="0.3">
      <c r="A303" t="str">
        <f t="shared" si="14"/>
        <v>O0302</v>
      </c>
      <c r="B303" s="6">
        <f ca="1">Orders[[#This Row],[Discount%]]</f>
        <v>0</v>
      </c>
      <c r="C303" t="str" cm="1">
        <f t="array" aca="1" ref="C303" ca="1">INDEX(Customers[Customer ID],RANDBETWEEN(1,200))</f>
        <v>C035</v>
      </c>
      <c r="D303" t="str" cm="1">
        <f t="array" aca="1" ref="D303" ca="1">INDEX(Products[Product ID],RANDBETWEEN(1,50))</f>
        <v>P047</v>
      </c>
      <c r="E303" t="str" cm="1">
        <f t="array" aca="1" ref="E303" ca="1">INDEX(Warehouses[Warehouse ID],RANDBETWEEN(1,8))</f>
        <v>W005</v>
      </c>
      <c r="F303">
        <f t="shared" ca="1" si="12"/>
        <v>3</v>
      </c>
      <c r="G303">
        <f ca="1">_xlfn.XLOOKUP(Orders[[#This Row],[Product ID]],Products[Product ID],Products[Selling Price])</f>
        <v>6200</v>
      </c>
      <c r="H303" s="6">
        <f t="shared" ca="1" si="13"/>
        <v>0</v>
      </c>
      <c r="I303">
        <f ca="1">Orders[[#This Row],[Quantity]]*Orders[[#This Row],[Unit Price]]*(1-Orders[[#This Row],[Discount%]])</f>
        <v>18600</v>
      </c>
      <c r="J303" t="str" cm="1">
        <f t="array" aca="1" ref="J303" ca="1">INDEX(PaymentMethods[Payment Method],RANDBETWEEN(1,5))</f>
        <v>UPI</v>
      </c>
    </row>
    <row r="304" spans="1:10" x14ac:dyDescent="0.3">
      <c r="A304" t="str">
        <f t="shared" si="14"/>
        <v>O0303</v>
      </c>
      <c r="B304" s="6">
        <f ca="1">Orders[[#This Row],[Discount%]]</f>
        <v>0.06</v>
      </c>
      <c r="C304" t="str" cm="1">
        <f t="array" aca="1" ref="C304" ca="1">INDEX(Customers[Customer ID],RANDBETWEEN(1,200))</f>
        <v>C074</v>
      </c>
      <c r="D304" t="str" cm="1">
        <f t="array" aca="1" ref="D304" ca="1">INDEX(Products[Product ID],RANDBETWEEN(1,50))</f>
        <v>P038</v>
      </c>
      <c r="E304" t="str" cm="1">
        <f t="array" aca="1" ref="E304" ca="1">INDEX(Warehouses[Warehouse ID],RANDBETWEEN(1,8))</f>
        <v>W004</v>
      </c>
      <c r="F304">
        <f t="shared" ca="1" si="12"/>
        <v>7</v>
      </c>
      <c r="G304">
        <f ca="1">_xlfn.XLOOKUP(Orders[[#This Row],[Product ID]],Products[Product ID],Products[Selling Price])</f>
        <v>1500</v>
      </c>
      <c r="H304" s="6">
        <f t="shared" ca="1" si="13"/>
        <v>0.06</v>
      </c>
      <c r="I304">
        <f ca="1">Orders[[#This Row],[Quantity]]*Orders[[#This Row],[Unit Price]]*(1-Orders[[#This Row],[Discount%]])</f>
        <v>9870</v>
      </c>
      <c r="J304" t="str" cm="1">
        <f t="array" aca="1" ref="J304" ca="1">INDEX(PaymentMethods[Payment Method],RANDBETWEEN(1,5))</f>
        <v>Debit Card</v>
      </c>
    </row>
    <row r="305" spans="1:10" x14ac:dyDescent="0.3">
      <c r="A305" t="str">
        <f t="shared" si="14"/>
        <v>O0304</v>
      </c>
      <c r="B305" s="6">
        <f ca="1">Orders[[#This Row],[Discount%]]</f>
        <v>0.08</v>
      </c>
      <c r="C305" t="str" cm="1">
        <f t="array" aca="1" ref="C305" ca="1">INDEX(Customers[Customer ID],RANDBETWEEN(1,200))</f>
        <v>C037</v>
      </c>
      <c r="D305" t="str" cm="1">
        <f t="array" aca="1" ref="D305" ca="1">INDEX(Products[Product ID],RANDBETWEEN(1,50))</f>
        <v>P019</v>
      </c>
      <c r="E305" t="str" cm="1">
        <f t="array" aca="1" ref="E305" ca="1">INDEX(Warehouses[Warehouse ID],RANDBETWEEN(1,8))</f>
        <v>W002</v>
      </c>
      <c r="F305">
        <f t="shared" ca="1" si="12"/>
        <v>3</v>
      </c>
      <c r="G305">
        <f ca="1">_xlfn.XLOOKUP(Orders[[#This Row],[Product ID]],Products[Product ID],Products[Selling Price])</f>
        <v>950</v>
      </c>
      <c r="H305" s="6">
        <f t="shared" ca="1" si="13"/>
        <v>0.08</v>
      </c>
      <c r="I305">
        <f ca="1">Orders[[#This Row],[Quantity]]*Orders[[#This Row],[Unit Price]]*(1-Orders[[#This Row],[Discount%]])</f>
        <v>2622</v>
      </c>
      <c r="J305" t="str" cm="1">
        <f t="array" aca="1" ref="J305" ca="1">INDEX(PaymentMethods[Payment Method],RANDBETWEEN(1,5))</f>
        <v>Cash</v>
      </c>
    </row>
    <row r="306" spans="1:10" x14ac:dyDescent="0.3">
      <c r="A306" t="str">
        <f t="shared" si="14"/>
        <v>O0305</v>
      </c>
      <c r="B306" s="6">
        <f ca="1">Orders[[#This Row],[Discount%]]</f>
        <v>0.03</v>
      </c>
      <c r="C306" t="str" cm="1">
        <f t="array" aca="1" ref="C306" ca="1">INDEX(Customers[Customer ID],RANDBETWEEN(1,200))</f>
        <v>C026</v>
      </c>
      <c r="D306" t="str" cm="1">
        <f t="array" aca="1" ref="D306" ca="1">INDEX(Products[Product ID],RANDBETWEEN(1,50))</f>
        <v>P015</v>
      </c>
      <c r="E306" t="str" cm="1">
        <f t="array" aca="1" ref="E306" ca="1">INDEX(Warehouses[Warehouse ID],RANDBETWEEN(1,8))</f>
        <v>W002</v>
      </c>
      <c r="F306">
        <f t="shared" ca="1" si="12"/>
        <v>4</v>
      </c>
      <c r="G306">
        <f ca="1">_xlfn.XLOOKUP(Orders[[#This Row],[Product ID]],Products[Product ID],Products[Selling Price])</f>
        <v>1800</v>
      </c>
      <c r="H306" s="6">
        <f t="shared" ca="1" si="13"/>
        <v>0.03</v>
      </c>
      <c r="I306">
        <f ca="1">Orders[[#This Row],[Quantity]]*Orders[[#This Row],[Unit Price]]*(1-Orders[[#This Row],[Discount%]])</f>
        <v>6984</v>
      </c>
      <c r="J306" t="str" cm="1">
        <f t="array" aca="1" ref="J306" ca="1">INDEX(PaymentMethods[Payment Method],RANDBETWEEN(1,5))</f>
        <v>UPI</v>
      </c>
    </row>
    <row r="307" spans="1:10" x14ac:dyDescent="0.3">
      <c r="A307" t="str">
        <f t="shared" si="14"/>
        <v>O0306</v>
      </c>
      <c r="B307" s="6">
        <f ca="1">Orders[[#This Row],[Discount%]]</f>
        <v>0.08</v>
      </c>
      <c r="C307" t="str" cm="1">
        <f t="array" aca="1" ref="C307" ca="1">INDEX(Customers[Customer ID],RANDBETWEEN(1,200))</f>
        <v>C018</v>
      </c>
      <c r="D307" t="str" cm="1">
        <f t="array" aca="1" ref="D307" ca="1">INDEX(Products[Product ID],RANDBETWEEN(1,50))</f>
        <v>P045</v>
      </c>
      <c r="E307" t="str" cm="1">
        <f t="array" aca="1" ref="E307" ca="1">INDEX(Warehouses[Warehouse ID],RANDBETWEEN(1,8))</f>
        <v>W006</v>
      </c>
      <c r="F307">
        <f t="shared" ca="1" si="12"/>
        <v>8</v>
      </c>
      <c r="G307">
        <f ca="1">_xlfn.XLOOKUP(Orders[[#This Row],[Product ID]],Products[Product ID],Products[Selling Price])</f>
        <v>1500</v>
      </c>
      <c r="H307" s="6">
        <f t="shared" ca="1" si="13"/>
        <v>0.08</v>
      </c>
      <c r="I307">
        <f ca="1">Orders[[#This Row],[Quantity]]*Orders[[#This Row],[Unit Price]]*(1-Orders[[#This Row],[Discount%]])</f>
        <v>11040</v>
      </c>
      <c r="J307" t="str" cm="1">
        <f t="array" aca="1" ref="J307" ca="1">INDEX(PaymentMethods[Payment Method],RANDBETWEEN(1,5))</f>
        <v>Net Banking</v>
      </c>
    </row>
    <row r="308" spans="1:10" x14ac:dyDescent="0.3">
      <c r="A308" t="str">
        <f t="shared" si="14"/>
        <v>O0307</v>
      </c>
      <c r="B308" s="6">
        <f ca="1">Orders[[#This Row],[Discount%]]</f>
        <v>0.18</v>
      </c>
      <c r="C308" t="str" cm="1">
        <f t="array" aca="1" ref="C308" ca="1">INDEX(Customers[Customer ID],RANDBETWEEN(1,200))</f>
        <v>C067</v>
      </c>
      <c r="D308" t="str" cm="1">
        <f t="array" aca="1" ref="D308" ca="1">INDEX(Products[Product ID],RANDBETWEEN(1,50))</f>
        <v>P041</v>
      </c>
      <c r="E308" t="str" cm="1">
        <f t="array" aca="1" ref="E308" ca="1">INDEX(Warehouses[Warehouse ID],RANDBETWEEN(1,8))</f>
        <v>W002</v>
      </c>
      <c r="F308">
        <f t="shared" ca="1" si="12"/>
        <v>8</v>
      </c>
      <c r="G308">
        <f ca="1">_xlfn.XLOOKUP(Orders[[#This Row],[Product ID]],Products[Product ID],Products[Selling Price])</f>
        <v>36000</v>
      </c>
      <c r="H308" s="6">
        <f t="shared" ca="1" si="13"/>
        <v>0.18</v>
      </c>
      <c r="I308">
        <f ca="1">Orders[[#This Row],[Quantity]]*Orders[[#This Row],[Unit Price]]*(1-Orders[[#This Row],[Discount%]])</f>
        <v>236160.00000000003</v>
      </c>
      <c r="J308" t="str" cm="1">
        <f t="array" aca="1" ref="J308" ca="1">INDEX(PaymentMethods[Payment Method],RANDBETWEEN(1,5))</f>
        <v>Credit Card</v>
      </c>
    </row>
    <row r="309" spans="1:10" x14ac:dyDescent="0.3">
      <c r="A309" t="str">
        <f t="shared" si="14"/>
        <v>O0308</v>
      </c>
      <c r="B309" s="6">
        <f ca="1">Orders[[#This Row],[Discount%]]</f>
        <v>0.11</v>
      </c>
      <c r="C309" t="str" cm="1">
        <f t="array" aca="1" ref="C309" ca="1">INDEX(Customers[Customer ID],RANDBETWEEN(1,200))</f>
        <v>C158</v>
      </c>
      <c r="D309" t="str" cm="1">
        <f t="array" aca="1" ref="D309" ca="1">INDEX(Products[Product ID],RANDBETWEEN(1,50))</f>
        <v>P015</v>
      </c>
      <c r="E309" t="str" cm="1">
        <f t="array" aca="1" ref="E309" ca="1">INDEX(Warehouses[Warehouse ID],RANDBETWEEN(1,8))</f>
        <v>W008</v>
      </c>
      <c r="F309">
        <f t="shared" ca="1" si="12"/>
        <v>5</v>
      </c>
      <c r="G309">
        <f ca="1">_xlfn.XLOOKUP(Orders[[#This Row],[Product ID]],Products[Product ID],Products[Selling Price])</f>
        <v>1800</v>
      </c>
      <c r="H309" s="6">
        <f t="shared" ca="1" si="13"/>
        <v>0.11</v>
      </c>
      <c r="I309">
        <f ca="1">Orders[[#This Row],[Quantity]]*Orders[[#This Row],[Unit Price]]*(1-Orders[[#This Row],[Discount%]])</f>
        <v>8010</v>
      </c>
      <c r="J309" t="str" cm="1">
        <f t="array" aca="1" ref="J309" ca="1">INDEX(PaymentMethods[Payment Method],RANDBETWEEN(1,5))</f>
        <v>Debit Card</v>
      </c>
    </row>
    <row r="310" spans="1:10" x14ac:dyDescent="0.3">
      <c r="A310" t="str">
        <f t="shared" si="14"/>
        <v>O0309</v>
      </c>
      <c r="B310" s="6">
        <f ca="1">Orders[[#This Row],[Discount%]]</f>
        <v>0.04</v>
      </c>
      <c r="C310" t="str" cm="1">
        <f t="array" aca="1" ref="C310" ca="1">INDEX(Customers[Customer ID],RANDBETWEEN(1,200))</f>
        <v>C088</v>
      </c>
      <c r="D310" t="str" cm="1">
        <f t="array" aca="1" ref="D310" ca="1">INDEX(Products[Product ID],RANDBETWEEN(1,50))</f>
        <v>P016</v>
      </c>
      <c r="E310" t="str" cm="1">
        <f t="array" aca="1" ref="E310" ca="1">INDEX(Warehouses[Warehouse ID],RANDBETWEEN(1,8))</f>
        <v>W002</v>
      </c>
      <c r="F310">
        <f t="shared" ca="1" si="12"/>
        <v>1</v>
      </c>
      <c r="G310">
        <f ca="1">_xlfn.XLOOKUP(Orders[[#This Row],[Product ID]],Products[Product ID],Products[Selling Price])</f>
        <v>2500</v>
      </c>
      <c r="H310" s="6">
        <f t="shared" ca="1" si="13"/>
        <v>0.04</v>
      </c>
      <c r="I310">
        <f ca="1">Orders[[#This Row],[Quantity]]*Orders[[#This Row],[Unit Price]]*(1-Orders[[#This Row],[Discount%]])</f>
        <v>2400</v>
      </c>
      <c r="J310" t="str" cm="1">
        <f t="array" aca="1" ref="J310" ca="1">INDEX(PaymentMethods[Payment Method],RANDBETWEEN(1,5))</f>
        <v>UPI</v>
      </c>
    </row>
    <row r="311" spans="1:10" x14ac:dyDescent="0.3">
      <c r="A311" t="str">
        <f t="shared" si="14"/>
        <v>O0310</v>
      </c>
      <c r="B311" s="6">
        <f ca="1">Orders[[#This Row],[Discount%]]</f>
        <v>0.05</v>
      </c>
      <c r="C311" t="str" cm="1">
        <f t="array" aca="1" ref="C311" ca="1">INDEX(Customers[Customer ID],RANDBETWEEN(1,200))</f>
        <v>C022</v>
      </c>
      <c r="D311" t="str" cm="1">
        <f t="array" aca="1" ref="D311" ca="1">INDEX(Products[Product ID],RANDBETWEEN(1,50))</f>
        <v>P002</v>
      </c>
      <c r="E311" t="str" cm="1">
        <f t="array" aca="1" ref="E311" ca="1">INDEX(Warehouses[Warehouse ID],RANDBETWEEN(1,8))</f>
        <v>W007</v>
      </c>
      <c r="F311">
        <f t="shared" ca="1" si="12"/>
        <v>10</v>
      </c>
      <c r="G311">
        <f ca="1">_xlfn.XLOOKUP(Orders[[#This Row],[Product ID]],Products[Product ID],Products[Selling Price])</f>
        <v>550</v>
      </c>
      <c r="H311" s="6">
        <f t="shared" ca="1" si="13"/>
        <v>0.05</v>
      </c>
      <c r="I311">
        <f ca="1">Orders[[#This Row],[Quantity]]*Orders[[#This Row],[Unit Price]]*(1-Orders[[#This Row],[Discount%]])</f>
        <v>5225</v>
      </c>
      <c r="J311" t="str" cm="1">
        <f t="array" aca="1" ref="J311" ca="1">INDEX(PaymentMethods[Payment Method],RANDBETWEEN(1,5))</f>
        <v>Cash</v>
      </c>
    </row>
    <row r="312" spans="1:10" x14ac:dyDescent="0.3">
      <c r="A312" t="str">
        <f t="shared" si="14"/>
        <v>O0311</v>
      </c>
      <c r="B312" s="6">
        <f ca="1">Orders[[#This Row],[Discount%]]</f>
        <v>0.11</v>
      </c>
      <c r="C312" t="str" cm="1">
        <f t="array" aca="1" ref="C312" ca="1">INDEX(Customers[Customer ID],RANDBETWEEN(1,200))</f>
        <v>C089</v>
      </c>
      <c r="D312" t="str" cm="1">
        <f t="array" aca="1" ref="D312" ca="1">INDEX(Products[Product ID],RANDBETWEEN(1,50))</f>
        <v>P040</v>
      </c>
      <c r="E312" t="str" cm="1">
        <f t="array" aca="1" ref="E312" ca="1">INDEX(Warehouses[Warehouse ID],RANDBETWEEN(1,8))</f>
        <v>W004</v>
      </c>
      <c r="F312">
        <f t="shared" ca="1" si="12"/>
        <v>9</v>
      </c>
      <c r="G312">
        <f ca="1">_xlfn.XLOOKUP(Orders[[#This Row],[Product ID]],Products[Product ID],Products[Selling Price])</f>
        <v>180</v>
      </c>
      <c r="H312" s="6">
        <f t="shared" ca="1" si="13"/>
        <v>0.11</v>
      </c>
      <c r="I312">
        <f ca="1">Orders[[#This Row],[Quantity]]*Orders[[#This Row],[Unit Price]]*(1-Orders[[#This Row],[Discount%]])</f>
        <v>1441.8</v>
      </c>
      <c r="J312" t="str" cm="1">
        <f t="array" aca="1" ref="J312" ca="1">INDEX(PaymentMethods[Payment Method],RANDBETWEEN(1,5))</f>
        <v>UPI</v>
      </c>
    </row>
    <row r="313" spans="1:10" x14ac:dyDescent="0.3">
      <c r="A313" t="str">
        <f t="shared" si="14"/>
        <v>O0312</v>
      </c>
      <c r="B313" s="6">
        <f ca="1">Orders[[#This Row],[Discount%]]</f>
        <v>0.11</v>
      </c>
      <c r="C313" t="str" cm="1">
        <f t="array" aca="1" ref="C313" ca="1">INDEX(Customers[Customer ID],RANDBETWEEN(1,200))</f>
        <v>C181</v>
      </c>
      <c r="D313" t="str" cm="1">
        <f t="array" aca="1" ref="D313" ca="1">INDEX(Products[Product ID],RANDBETWEEN(1,50))</f>
        <v>P032</v>
      </c>
      <c r="E313" t="str" cm="1">
        <f t="array" aca="1" ref="E313" ca="1">INDEX(Warehouses[Warehouse ID],RANDBETWEEN(1,8))</f>
        <v>W002</v>
      </c>
      <c r="F313">
        <f t="shared" ca="1" si="12"/>
        <v>4</v>
      </c>
      <c r="G313">
        <f ca="1">_xlfn.XLOOKUP(Orders[[#This Row],[Product ID]],Products[Product ID],Products[Selling Price])</f>
        <v>220</v>
      </c>
      <c r="H313" s="6">
        <f t="shared" ca="1" si="13"/>
        <v>0.11</v>
      </c>
      <c r="I313">
        <f ca="1">Orders[[#This Row],[Quantity]]*Orders[[#This Row],[Unit Price]]*(1-Orders[[#This Row],[Discount%]])</f>
        <v>783.2</v>
      </c>
      <c r="J313" t="str" cm="1">
        <f t="array" aca="1" ref="J313" ca="1">INDEX(PaymentMethods[Payment Method],RANDBETWEEN(1,5))</f>
        <v>Debit Card</v>
      </c>
    </row>
    <row r="314" spans="1:10" x14ac:dyDescent="0.3">
      <c r="A314" t="str">
        <f t="shared" si="14"/>
        <v>O0313</v>
      </c>
      <c r="B314" s="6">
        <f ca="1">Orders[[#This Row],[Discount%]]</f>
        <v>0.01</v>
      </c>
      <c r="C314" t="str" cm="1">
        <f t="array" aca="1" ref="C314" ca="1">INDEX(Customers[Customer ID],RANDBETWEEN(1,200))</f>
        <v>C047</v>
      </c>
      <c r="D314" t="str" cm="1">
        <f t="array" aca="1" ref="D314" ca="1">INDEX(Products[Product ID],RANDBETWEEN(1,50))</f>
        <v>P012</v>
      </c>
      <c r="E314" t="str" cm="1">
        <f t="array" aca="1" ref="E314" ca="1">INDEX(Warehouses[Warehouse ID],RANDBETWEEN(1,8))</f>
        <v>W006</v>
      </c>
      <c r="F314">
        <f t="shared" ca="1" si="12"/>
        <v>1</v>
      </c>
      <c r="G314">
        <f ca="1">_xlfn.XLOOKUP(Orders[[#This Row],[Product ID]],Products[Product ID],Products[Selling Price])</f>
        <v>80</v>
      </c>
      <c r="H314" s="6">
        <f t="shared" ca="1" si="13"/>
        <v>0.01</v>
      </c>
      <c r="I314">
        <f ca="1">Orders[[#This Row],[Quantity]]*Orders[[#This Row],[Unit Price]]*(1-Orders[[#This Row],[Discount%]])</f>
        <v>79.2</v>
      </c>
      <c r="J314" t="str" cm="1">
        <f t="array" aca="1" ref="J314" ca="1">INDEX(PaymentMethods[Payment Method],RANDBETWEEN(1,5))</f>
        <v>UPI</v>
      </c>
    </row>
    <row r="315" spans="1:10" x14ac:dyDescent="0.3">
      <c r="A315" t="str">
        <f t="shared" si="14"/>
        <v>O0314</v>
      </c>
      <c r="B315" s="6">
        <f ca="1">Orders[[#This Row],[Discount%]]</f>
        <v>7.0000000000000007E-2</v>
      </c>
      <c r="C315" t="str" cm="1">
        <f t="array" aca="1" ref="C315" ca="1">INDEX(Customers[Customer ID],RANDBETWEEN(1,200))</f>
        <v>C056</v>
      </c>
      <c r="D315" t="str" cm="1">
        <f t="array" aca="1" ref="D315" ca="1">INDEX(Products[Product ID],RANDBETWEEN(1,50))</f>
        <v>P032</v>
      </c>
      <c r="E315" t="str" cm="1">
        <f t="array" aca="1" ref="E315" ca="1">INDEX(Warehouses[Warehouse ID],RANDBETWEEN(1,8))</f>
        <v>W005</v>
      </c>
      <c r="F315">
        <f t="shared" ca="1" si="12"/>
        <v>4</v>
      </c>
      <c r="G315">
        <f ca="1">_xlfn.XLOOKUP(Orders[[#This Row],[Product ID]],Products[Product ID],Products[Selling Price])</f>
        <v>220</v>
      </c>
      <c r="H315" s="6">
        <f t="shared" ca="1" si="13"/>
        <v>7.0000000000000007E-2</v>
      </c>
      <c r="I315">
        <f ca="1">Orders[[#This Row],[Quantity]]*Orders[[#This Row],[Unit Price]]*(1-Orders[[#This Row],[Discount%]])</f>
        <v>818.4</v>
      </c>
      <c r="J315" t="str" cm="1">
        <f t="array" aca="1" ref="J315" ca="1">INDEX(PaymentMethods[Payment Method],RANDBETWEEN(1,5))</f>
        <v>Credit Card</v>
      </c>
    </row>
    <row r="316" spans="1:10" x14ac:dyDescent="0.3">
      <c r="A316" t="str">
        <f t="shared" si="14"/>
        <v>O0315</v>
      </c>
      <c r="B316" s="6">
        <f ca="1">Orders[[#This Row],[Discount%]]</f>
        <v>0.01</v>
      </c>
      <c r="C316" t="str" cm="1">
        <f t="array" aca="1" ref="C316" ca="1">INDEX(Customers[Customer ID],RANDBETWEEN(1,200))</f>
        <v>C136</v>
      </c>
      <c r="D316" t="str" cm="1">
        <f t="array" aca="1" ref="D316" ca="1">INDEX(Products[Product ID],RANDBETWEEN(1,50))</f>
        <v>P038</v>
      </c>
      <c r="E316" t="str" cm="1">
        <f t="array" aca="1" ref="E316" ca="1">INDEX(Warehouses[Warehouse ID],RANDBETWEEN(1,8))</f>
        <v>W004</v>
      </c>
      <c r="F316">
        <f t="shared" ca="1" si="12"/>
        <v>6</v>
      </c>
      <c r="G316">
        <f ca="1">_xlfn.XLOOKUP(Orders[[#This Row],[Product ID]],Products[Product ID],Products[Selling Price])</f>
        <v>1500</v>
      </c>
      <c r="H316" s="6">
        <f t="shared" ca="1" si="13"/>
        <v>0.01</v>
      </c>
      <c r="I316">
        <f ca="1">Orders[[#This Row],[Quantity]]*Orders[[#This Row],[Unit Price]]*(1-Orders[[#This Row],[Discount%]])</f>
        <v>8910</v>
      </c>
      <c r="J316" t="str" cm="1">
        <f t="array" aca="1" ref="J316" ca="1">INDEX(PaymentMethods[Payment Method],RANDBETWEEN(1,5))</f>
        <v>Credit Card</v>
      </c>
    </row>
    <row r="317" spans="1:10" x14ac:dyDescent="0.3">
      <c r="A317" t="str">
        <f t="shared" si="14"/>
        <v>O0316</v>
      </c>
      <c r="B317" s="6">
        <f ca="1">Orders[[#This Row],[Discount%]]</f>
        <v>0.18</v>
      </c>
      <c r="C317" t="str" cm="1">
        <f t="array" aca="1" ref="C317" ca="1">INDEX(Customers[Customer ID],RANDBETWEEN(1,200))</f>
        <v>C060</v>
      </c>
      <c r="D317" t="str" cm="1">
        <f t="array" aca="1" ref="D317" ca="1">INDEX(Products[Product ID],RANDBETWEEN(1,50))</f>
        <v>P032</v>
      </c>
      <c r="E317" t="str" cm="1">
        <f t="array" aca="1" ref="E317" ca="1">INDEX(Warehouses[Warehouse ID],RANDBETWEEN(1,8))</f>
        <v>W001</v>
      </c>
      <c r="F317">
        <f t="shared" ca="1" si="12"/>
        <v>5</v>
      </c>
      <c r="G317">
        <f ca="1">_xlfn.XLOOKUP(Orders[[#This Row],[Product ID]],Products[Product ID],Products[Selling Price])</f>
        <v>220</v>
      </c>
      <c r="H317" s="6">
        <f t="shared" ca="1" si="13"/>
        <v>0.18</v>
      </c>
      <c r="I317">
        <f ca="1">Orders[[#This Row],[Quantity]]*Orders[[#This Row],[Unit Price]]*(1-Orders[[#This Row],[Discount%]])</f>
        <v>902.00000000000011</v>
      </c>
      <c r="J317" t="str" cm="1">
        <f t="array" aca="1" ref="J317" ca="1">INDEX(PaymentMethods[Payment Method],RANDBETWEEN(1,5))</f>
        <v>Credit Card</v>
      </c>
    </row>
    <row r="318" spans="1:10" x14ac:dyDescent="0.3">
      <c r="A318" t="str">
        <f t="shared" si="14"/>
        <v>O0317</v>
      </c>
      <c r="B318" s="6">
        <f ca="1">Orders[[#This Row],[Discount%]]</f>
        <v>0.02</v>
      </c>
      <c r="C318" t="str" cm="1">
        <f t="array" aca="1" ref="C318" ca="1">INDEX(Customers[Customer ID],RANDBETWEEN(1,200))</f>
        <v>C067</v>
      </c>
      <c r="D318" t="str" cm="1">
        <f t="array" aca="1" ref="D318" ca="1">INDEX(Products[Product ID],RANDBETWEEN(1,50))</f>
        <v>P034</v>
      </c>
      <c r="E318" t="str" cm="1">
        <f t="array" aca="1" ref="E318" ca="1">INDEX(Warehouses[Warehouse ID],RANDBETWEEN(1,8))</f>
        <v>W001</v>
      </c>
      <c r="F318">
        <f t="shared" ca="1" si="12"/>
        <v>9</v>
      </c>
      <c r="G318">
        <f ca="1">_xlfn.XLOOKUP(Orders[[#This Row],[Product ID]],Products[Product ID],Products[Selling Price])</f>
        <v>120</v>
      </c>
      <c r="H318" s="6">
        <f t="shared" ca="1" si="13"/>
        <v>0.02</v>
      </c>
      <c r="I318">
        <f ca="1">Orders[[#This Row],[Quantity]]*Orders[[#This Row],[Unit Price]]*(1-Orders[[#This Row],[Discount%]])</f>
        <v>1058.4000000000001</v>
      </c>
      <c r="J318" t="str" cm="1">
        <f t="array" aca="1" ref="J318" ca="1">INDEX(PaymentMethods[Payment Method],RANDBETWEEN(1,5))</f>
        <v>UPI</v>
      </c>
    </row>
    <row r="319" spans="1:10" x14ac:dyDescent="0.3">
      <c r="A319" t="str">
        <f t="shared" si="14"/>
        <v>O0318</v>
      </c>
      <c r="B319" s="6">
        <f ca="1">Orders[[#This Row],[Discount%]]</f>
        <v>0.2</v>
      </c>
      <c r="C319" t="str" cm="1">
        <f t="array" aca="1" ref="C319" ca="1">INDEX(Customers[Customer ID],RANDBETWEEN(1,200))</f>
        <v>C038</v>
      </c>
      <c r="D319" t="str" cm="1">
        <f t="array" aca="1" ref="D319" ca="1">INDEX(Products[Product ID],RANDBETWEEN(1,50))</f>
        <v>P022</v>
      </c>
      <c r="E319" t="str" cm="1">
        <f t="array" aca="1" ref="E319" ca="1">INDEX(Warehouses[Warehouse ID],RANDBETWEEN(1,8))</f>
        <v>W006</v>
      </c>
      <c r="F319">
        <f t="shared" ca="1" si="12"/>
        <v>6</v>
      </c>
      <c r="G319">
        <f ca="1">_xlfn.XLOOKUP(Orders[[#This Row],[Product ID]],Products[Product ID],Products[Selling Price])</f>
        <v>5000</v>
      </c>
      <c r="H319" s="6">
        <f t="shared" ca="1" si="13"/>
        <v>0.2</v>
      </c>
      <c r="I319">
        <f ca="1">Orders[[#This Row],[Quantity]]*Orders[[#This Row],[Unit Price]]*(1-Orders[[#This Row],[Discount%]])</f>
        <v>24000</v>
      </c>
      <c r="J319" t="str" cm="1">
        <f t="array" aca="1" ref="J319" ca="1">INDEX(PaymentMethods[Payment Method],RANDBETWEEN(1,5))</f>
        <v>Cash</v>
      </c>
    </row>
    <row r="320" spans="1:10" x14ac:dyDescent="0.3">
      <c r="A320" t="str">
        <f t="shared" si="14"/>
        <v>O0319</v>
      </c>
      <c r="B320" s="6">
        <f ca="1">Orders[[#This Row],[Discount%]]</f>
        <v>0</v>
      </c>
      <c r="C320" t="str" cm="1">
        <f t="array" aca="1" ref="C320" ca="1">INDEX(Customers[Customer ID],RANDBETWEEN(1,200))</f>
        <v>C177</v>
      </c>
      <c r="D320" t="str" cm="1">
        <f t="array" aca="1" ref="D320" ca="1">INDEX(Products[Product ID],RANDBETWEEN(1,50))</f>
        <v>P005</v>
      </c>
      <c r="E320" t="str" cm="1">
        <f t="array" aca="1" ref="E320" ca="1">INDEX(Warehouses[Warehouse ID],RANDBETWEEN(1,8))</f>
        <v>W004</v>
      </c>
      <c r="F320">
        <f t="shared" ca="1" si="12"/>
        <v>2</v>
      </c>
      <c r="G320">
        <f ca="1">_xlfn.XLOOKUP(Orders[[#This Row],[Product ID]],Products[Product ID],Products[Selling Price])</f>
        <v>10500</v>
      </c>
      <c r="H320" s="6">
        <f t="shared" ca="1" si="13"/>
        <v>0</v>
      </c>
      <c r="I320">
        <f ca="1">Orders[[#This Row],[Quantity]]*Orders[[#This Row],[Unit Price]]*(1-Orders[[#This Row],[Discount%]])</f>
        <v>21000</v>
      </c>
      <c r="J320" t="str" cm="1">
        <f t="array" aca="1" ref="J320" ca="1">INDEX(PaymentMethods[Payment Method],RANDBETWEEN(1,5))</f>
        <v>UPI</v>
      </c>
    </row>
    <row r="321" spans="1:10" x14ac:dyDescent="0.3">
      <c r="A321" t="str">
        <f t="shared" si="14"/>
        <v>O0320</v>
      </c>
      <c r="B321" s="6">
        <f ca="1">Orders[[#This Row],[Discount%]]</f>
        <v>0.08</v>
      </c>
      <c r="C321" t="str" cm="1">
        <f t="array" aca="1" ref="C321" ca="1">INDEX(Customers[Customer ID],RANDBETWEEN(1,200))</f>
        <v>C025</v>
      </c>
      <c r="D321" t="str" cm="1">
        <f t="array" aca="1" ref="D321" ca="1">INDEX(Products[Product ID],RANDBETWEEN(1,50))</f>
        <v>P018</v>
      </c>
      <c r="E321" t="str" cm="1">
        <f t="array" aca="1" ref="E321" ca="1">INDEX(Warehouses[Warehouse ID],RANDBETWEEN(1,8))</f>
        <v>W005</v>
      </c>
      <c r="F321">
        <f t="shared" ca="1" si="12"/>
        <v>9</v>
      </c>
      <c r="G321">
        <f ca="1">_xlfn.XLOOKUP(Orders[[#This Row],[Product ID]],Products[Product ID],Products[Selling Price])</f>
        <v>1500</v>
      </c>
      <c r="H321" s="6">
        <f t="shared" ca="1" si="13"/>
        <v>0.08</v>
      </c>
      <c r="I321">
        <f ca="1">Orders[[#This Row],[Quantity]]*Orders[[#This Row],[Unit Price]]*(1-Orders[[#This Row],[Discount%]])</f>
        <v>12420</v>
      </c>
      <c r="J321" t="str" cm="1">
        <f t="array" aca="1" ref="J321" ca="1">INDEX(PaymentMethods[Payment Method],RANDBETWEEN(1,5))</f>
        <v>Credit Card</v>
      </c>
    </row>
    <row r="322" spans="1:10" x14ac:dyDescent="0.3">
      <c r="A322" t="str">
        <f t="shared" si="14"/>
        <v>O0321</v>
      </c>
      <c r="B322" s="6">
        <f ca="1">Orders[[#This Row],[Discount%]]</f>
        <v>0.11</v>
      </c>
      <c r="C322" t="str" cm="1">
        <f t="array" aca="1" ref="C322" ca="1">INDEX(Customers[Customer ID],RANDBETWEEN(1,200))</f>
        <v>C106</v>
      </c>
      <c r="D322" t="str" cm="1">
        <f t="array" aca="1" ref="D322" ca="1">INDEX(Products[Product ID],RANDBETWEEN(1,50))</f>
        <v>P002</v>
      </c>
      <c r="E322" t="str" cm="1">
        <f t="array" aca="1" ref="E322" ca="1">INDEX(Warehouses[Warehouse ID],RANDBETWEEN(1,8))</f>
        <v>W002</v>
      </c>
      <c r="F322">
        <f t="shared" ref="F322:F385" ca="1" si="15">RANDBETWEEN(1,10)</f>
        <v>5</v>
      </c>
      <c r="G322">
        <f ca="1">_xlfn.XLOOKUP(Orders[[#This Row],[Product ID]],Products[Product ID],Products[Selling Price])</f>
        <v>550</v>
      </c>
      <c r="H322" s="6">
        <f t="shared" ref="H322:H385" ca="1" si="16">RANDBETWEEN(0,20)/100</f>
        <v>0.11</v>
      </c>
      <c r="I322">
        <f ca="1">Orders[[#This Row],[Quantity]]*Orders[[#This Row],[Unit Price]]*(1-Orders[[#This Row],[Discount%]])</f>
        <v>2447.5</v>
      </c>
      <c r="J322" t="str" cm="1">
        <f t="array" aca="1" ref="J322" ca="1">INDEX(PaymentMethods[Payment Method],RANDBETWEEN(1,5))</f>
        <v>Debit Card</v>
      </c>
    </row>
    <row r="323" spans="1:10" x14ac:dyDescent="0.3">
      <c r="A323" t="str">
        <f t="shared" ref="A323:A386" si="17">"O"&amp;TEXT(ROW()-1,"0000")</f>
        <v>O0322</v>
      </c>
      <c r="B323" s="6">
        <f ca="1">Orders[[#This Row],[Discount%]]</f>
        <v>0.02</v>
      </c>
      <c r="C323" t="str" cm="1">
        <f t="array" aca="1" ref="C323" ca="1">INDEX(Customers[Customer ID],RANDBETWEEN(1,200))</f>
        <v>C061</v>
      </c>
      <c r="D323" t="str" cm="1">
        <f t="array" aca="1" ref="D323" ca="1">INDEX(Products[Product ID],RANDBETWEEN(1,50))</f>
        <v>P032</v>
      </c>
      <c r="E323" t="str" cm="1">
        <f t="array" aca="1" ref="E323" ca="1">INDEX(Warehouses[Warehouse ID],RANDBETWEEN(1,8))</f>
        <v>W002</v>
      </c>
      <c r="F323">
        <f t="shared" ca="1" si="15"/>
        <v>5</v>
      </c>
      <c r="G323">
        <f ca="1">_xlfn.XLOOKUP(Orders[[#This Row],[Product ID]],Products[Product ID],Products[Selling Price])</f>
        <v>220</v>
      </c>
      <c r="H323" s="6">
        <f t="shared" ca="1" si="16"/>
        <v>0.02</v>
      </c>
      <c r="I323">
        <f ca="1">Orders[[#This Row],[Quantity]]*Orders[[#This Row],[Unit Price]]*(1-Orders[[#This Row],[Discount%]])</f>
        <v>1078</v>
      </c>
      <c r="J323" t="str" cm="1">
        <f t="array" aca="1" ref="J323" ca="1">INDEX(PaymentMethods[Payment Method],RANDBETWEEN(1,5))</f>
        <v>Net Banking</v>
      </c>
    </row>
    <row r="324" spans="1:10" x14ac:dyDescent="0.3">
      <c r="A324" t="str">
        <f t="shared" si="17"/>
        <v>O0323</v>
      </c>
      <c r="B324" s="6">
        <f ca="1">Orders[[#This Row],[Discount%]]</f>
        <v>0.19</v>
      </c>
      <c r="C324" t="str" cm="1">
        <f t="array" aca="1" ref="C324" ca="1">INDEX(Customers[Customer ID],RANDBETWEEN(1,200))</f>
        <v>C149</v>
      </c>
      <c r="D324" t="str" cm="1">
        <f t="array" aca="1" ref="D324" ca="1">INDEX(Products[Product ID],RANDBETWEEN(1,50))</f>
        <v>P035</v>
      </c>
      <c r="E324" t="str" cm="1">
        <f t="array" aca="1" ref="E324" ca="1">INDEX(Warehouses[Warehouse ID],RANDBETWEEN(1,8))</f>
        <v>W006</v>
      </c>
      <c r="F324">
        <f t="shared" ca="1" si="15"/>
        <v>9</v>
      </c>
      <c r="G324">
        <f ca="1">_xlfn.XLOOKUP(Orders[[#This Row],[Product ID]],Products[Product ID],Products[Selling Price])</f>
        <v>300</v>
      </c>
      <c r="H324" s="6">
        <f t="shared" ca="1" si="16"/>
        <v>0.19</v>
      </c>
      <c r="I324">
        <f ca="1">Orders[[#This Row],[Quantity]]*Orders[[#This Row],[Unit Price]]*(1-Orders[[#This Row],[Discount%]])</f>
        <v>2187</v>
      </c>
      <c r="J324" t="str" cm="1">
        <f t="array" aca="1" ref="J324" ca="1">INDEX(PaymentMethods[Payment Method],RANDBETWEEN(1,5))</f>
        <v>Debit Card</v>
      </c>
    </row>
    <row r="325" spans="1:10" x14ac:dyDescent="0.3">
      <c r="A325" t="str">
        <f t="shared" si="17"/>
        <v>O0324</v>
      </c>
      <c r="B325" s="6">
        <f ca="1">Orders[[#This Row],[Discount%]]</f>
        <v>0.02</v>
      </c>
      <c r="C325" t="str" cm="1">
        <f t="array" aca="1" ref="C325" ca="1">INDEX(Customers[Customer ID],RANDBETWEEN(1,200))</f>
        <v>C151</v>
      </c>
      <c r="D325" t="str" cm="1">
        <f t="array" aca="1" ref="D325" ca="1">INDEX(Products[Product ID],RANDBETWEEN(1,50))</f>
        <v>P017</v>
      </c>
      <c r="E325" t="str" cm="1">
        <f t="array" aca="1" ref="E325" ca="1">INDEX(Warehouses[Warehouse ID],RANDBETWEEN(1,8))</f>
        <v>W002</v>
      </c>
      <c r="F325">
        <f t="shared" ca="1" si="15"/>
        <v>3</v>
      </c>
      <c r="G325">
        <f ca="1">_xlfn.XLOOKUP(Orders[[#This Row],[Product ID]],Products[Product ID],Products[Selling Price])</f>
        <v>650</v>
      </c>
      <c r="H325" s="6">
        <f t="shared" ca="1" si="16"/>
        <v>0.02</v>
      </c>
      <c r="I325">
        <f ca="1">Orders[[#This Row],[Quantity]]*Orders[[#This Row],[Unit Price]]*(1-Orders[[#This Row],[Discount%]])</f>
        <v>1911</v>
      </c>
      <c r="J325" t="str" cm="1">
        <f t="array" aca="1" ref="J325" ca="1">INDEX(PaymentMethods[Payment Method],RANDBETWEEN(1,5))</f>
        <v>Debit Card</v>
      </c>
    </row>
    <row r="326" spans="1:10" x14ac:dyDescent="0.3">
      <c r="A326" t="str">
        <f t="shared" si="17"/>
        <v>O0325</v>
      </c>
      <c r="B326" s="6">
        <f ca="1">Orders[[#This Row],[Discount%]]</f>
        <v>0.08</v>
      </c>
      <c r="C326" t="str" cm="1">
        <f t="array" aca="1" ref="C326" ca="1">INDEX(Customers[Customer ID],RANDBETWEEN(1,200))</f>
        <v>C126</v>
      </c>
      <c r="D326" t="str" cm="1">
        <f t="array" aca="1" ref="D326" ca="1">INDEX(Products[Product ID],RANDBETWEEN(1,50))</f>
        <v>P041</v>
      </c>
      <c r="E326" t="str" cm="1">
        <f t="array" aca="1" ref="E326" ca="1">INDEX(Warehouses[Warehouse ID],RANDBETWEEN(1,8))</f>
        <v>W005</v>
      </c>
      <c r="F326">
        <f t="shared" ca="1" si="15"/>
        <v>6</v>
      </c>
      <c r="G326">
        <f ca="1">_xlfn.XLOOKUP(Orders[[#This Row],[Product ID]],Products[Product ID],Products[Selling Price])</f>
        <v>36000</v>
      </c>
      <c r="H326" s="6">
        <f t="shared" ca="1" si="16"/>
        <v>0.08</v>
      </c>
      <c r="I326">
        <f ca="1">Orders[[#This Row],[Quantity]]*Orders[[#This Row],[Unit Price]]*(1-Orders[[#This Row],[Discount%]])</f>
        <v>198720</v>
      </c>
      <c r="J326" t="str" cm="1">
        <f t="array" aca="1" ref="J326" ca="1">INDEX(PaymentMethods[Payment Method],RANDBETWEEN(1,5))</f>
        <v>Credit Card</v>
      </c>
    </row>
    <row r="327" spans="1:10" x14ac:dyDescent="0.3">
      <c r="A327" t="str">
        <f t="shared" si="17"/>
        <v>O0326</v>
      </c>
      <c r="B327" s="6">
        <f ca="1">Orders[[#This Row],[Discount%]]</f>
        <v>0.17</v>
      </c>
      <c r="C327" t="str" cm="1">
        <f t="array" aca="1" ref="C327" ca="1">INDEX(Customers[Customer ID],RANDBETWEEN(1,200))</f>
        <v>C138</v>
      </c>
      <c r="D327" t="str" cm="1">
        <f t="array" aca="1" ref="D327" ca="1">INDEX(Products[Product ID],RANDBETWEEN(1,50))</f>
        <v>P019</v>
      </c>
      <c r="E327" t="str" cm="1">
        <f t="array" aca="1" ref="E327" ca="1">INDEX(Warehouses[Warehouse ID],RANDBETWEEN(1,8))</f>
        <v>W008</v>
      </c>
      <c r="F327">
        <f t="shared" ca="1" si="15"/>
        <v>1</v>
      </c>
      <c r="G327">
        <f ca="1">_xlfn.XLOOKUP(Orders[[#This Row],[Product ID]],Products[Product ID],Products[Selling Price])</f>
        <v>950</v>
      </c>
      <c r="H327" s="6">
        <f t="shared" ca="1" si="16"/>
        <v>0.17</v>
      </c>
      <c r="I327">
        <f ca="1">Orders[[#This Row],[Quantity]]*Orders[[#This Row],[Unit Price]]*(1-Orders[[#This Row],[Discount%]])</f>
        <v>788.5</v>
      </c>
      <c r="J327" t="str" cm="1">
        <f t="array" aca="1" ref="J327" ca="1">INDEX(PaymentMethods[Payment Method],RANDBETWEEN(1,5))</f>
        <v>Net Banking</v>
      </c>
    </row>
    <row r="328" spans="1:10" x14ac:dyDescent="0.3">
      <c r="A328" t="str">
        <f t="shared" si="17"/>
        <v>O0327</v>
      </c>
      <c r="B328" s="6">
        <f ca="1">Orders[[#This Row],[Discount%]]</f>
        <v>0.14000000000000001</v>
      </c>
      <c r="C328" t="str" cm="1">
        <f t="array" aca="1" ref="C328" ca="1">INDEX(Customers[Customer ID],RANDBETWEEN(1,200))</f>
        <v>C061</v>
      </c>
      <c r="D328" t="str" cm="1">
        <f t="array" aca="1" ref="D328" ca="1">INDEX(Products[Product ID],RANDBETWEEN(1,50))</f>
        <v>P020</v>
      </c>
      <c r="E328" t="str" cm="1">
        <f t="array" aca="1" ref="E328" ca="1">INDEX(Warehouses[Warehouse ID],RANDBETWEEN(1,8))</f>
        <v>W008</v>
      </c>
      <c r="F328">
        <f t="shared" ca="1" si="15"/>
        <v>2</v>
      </c>
      <c r="G328">
        <f ca="1">_xlfn.XLOOKUP(Orders[[#This Row],[Product ID]],Products[Product ID],Products[Selling Price])</f>
        <v>450</v>
      </c>
      <c r="H328" s="6">
        <f t="shared" ca="1" si="16"/>
        <v>0.14000000000000001</v>
      </c>
      <c r="I328">
        <f ca="1">Orders[[#This Row],[Quantity]]*Orders[[#This Row],[Unit Price]]*(1-Orders[[#This Row],[Discount%]])</f>
        <v>774</v>
      </c>
      <c r="J328" t="str" cm="1">
        <f t="array" aca="1" ref="J328" ca="1">INDEX(PaymentMethods[Payment Method],RANDBETWEEN(1,5))</f>
        <v>Cash</v>
      </c>
    </row>
    <row r="329" spans="1:10" x14ac:dyDescent="0.3">
      <c r="A329" t="str">
        <f t="shared" si="17"/>
        <v>O0328</v>
      </c>
      <c r="B329" s="6">
        <f ca="1">Orders[[#This Row],[Discount%]]</f>
        <v>0.04</v>
      </c>
      <c r="C329" t="str" cm="1">
        <f t="array" aca="1" ref="C329" ca="1">INDEX(Customers[Customer ID],RANDBETWEEN(1,200))</f>
        <v>C113</v>
      </c>
      <c r="D329" t="str" cm="1">
        <f t="array" aca="1" ref="D329" ca="1">INDEX(Products[Product ID],RANDBETWEEN(1,50))</f>
        <v>P029</v>
      </c>
      <c r="E329" t="str" cm="1">
        <f t="array" aca="1" ref="E329" ca="1">INDEX(Warehouses[Warehouse ID],RANDBETWEEN(1,8))</f>
        <v>W004</v>
      </c>
      <c r="F329">
        <f t="shared" ca="1" si="15"/>
        <v>3</v>
      </c>
      <c r="G329">
        <f ca="1">_xlfn.XLOOKUP(Orders[[#This Row],[Product ID]],Products[Product ID],Products[Selling Price])</f>
        <v>3200</v>
      </c>
      <c r="H329" s="6">
        <f t="shared" ca="1" si="16"/>
        <v>0.04</v>
      </c>
      <c r="I329">
        <f ca="1">Orders[[#This Row],[Quantity]]*Orders[[#This Row],[Unit Price]]*(1-Orders[[#This Row],[Discount%]])</f>
        <v>9216</v>
      </c>
      <c r="J329" t="str" cm="1">
        <f t="array" aca="1" ref="J329" ca="1">INDEX(PaymentMethods[Payment Method],RANDBETWEEN(1,5))</f>
        <v>UPI</v>
      </c>
    </row>
    <row r="330" spans="1:10" x14ac:dyDescent="0.3">
      <c r="A330" t="str">
        <f t="shared" si="17"/>
        <v>O0329</v>
      </c>
      <c r="B330" s="6">
        <f ca="1">Orders[[#This Row],[Discount%]]</f>
        <v>7.0000000000000007E-2</v>
      </c>
      <c r="C330" t="str" cm="1">
        <f t="array" aca="1" ref="C330" ca="1">INDEX(Customers[Customer ID],RANDBETWEEN(1,200))</f>
        <v>C116</v>
      </c>
      <c r="D330" t="str" cm="1">
        <f t="array" aca="1" ref="D330" ca="1">INDEX(Products[Product ID],RANDBETWEEN(1,50))</f>
        <v>P046</v>
      </c>
      <c r="E330" t="str" cm="1">
        <f t="array" aca="1" ref="E330" ca="1">INDEX(Warehouses[Warehouse ID],RANDBETWEEN(1,8))</f>
        <v>W006</v>
      </c>
      <c r="F330">
        <f t="shared" ca="1" si="15"/>
        <v>3</v>
      </c>
      <c r="G330">
        <f ca="1">_xlfn.XLOOKUP(Orders[[#This Row],[Product ID]],Products[Product ID],Products[Selling Price])</f>
        <v>2500</v>
      </c>
      <c r="H330" s="6">
        <f t="shared" ca="1" si="16"/>
        <v>7.0000000000000007E-2</v>
      </c>
      <c r="I330">
        <f ca="1">Orders[[#This Row],[Quantity]]*Orders[[#This Row],[Unit Price]]*(1-Orders[[#This Row],[Discount%]])</f>
        <v>6974.9999999999991</v>
      </c>
      <c r="J330" t="str" cm="1">
        <f t="array" aca="1" ref="J330" ca="1">INDEX(PaymentMethods[Payment Method],RANDBETWEEN(1,5))</f>
        <v>Cash</v>
      </c>
    </row>
    <row r="331" spans="1:10" x14ac:dyDescent="0.3">
      <c r="A331" t="str">
        <f t="shared" si="17"/>
        <v>O0330</v>
      </c>
      <c r="B331" s="6">
        <f ca="1">Orders[[#This Row],[Discount%]]</f>
        <v>0</v>
      </c>
      <c r="C331" t="str" cm="1">
        <f t="array" aca="1" ref="C331" ca="1">INDEX(Customers[Customer ID],RANDBETWEEN(1,200))</f>
        <v>C157</v>
      </c>
      <c r="D331" t="str" cm="1">
        <f t="array" aca="1" ref="D331" ca="1">INDEX(Products[Product ID],RANDBETWEEN(1,50))</f>
        <v>P044</v>
      </c>
      <c r="E331" t="str" cm="1">
        <f t="array" aca="1" ref="E331" ca="1">INDEX(Warehouses[Warehouse ID],RANDBETWEEN(1,8))</f>
        <v>W007</v>
      </c>
      <c r="F331">
        <f t="shared" ca="1" si="15"/>
        <v>9</v>
      </c>
      <c r="G331">
        <f ca="1">_xlfn.XLOOKUP(Orders[[#This Row],[Product ID]],Products[Product ID],Products[Selling Price])</f>
        <v>8500</v>
      </c>
      <c r="H331" s="6">
        <f t="shared" ca="1" si="16"/>
        <v>0</v>
      </c>
      <c r="I331">
        <f ca="1">Orders[[#This Row],[Quantity]]*Orders[[#This Row],[Unit Price]]*(1-Orders[[#This Row],[Discount%]])</f>
        <v>76500</v>
      </c>
      <c r="J331" t="str" cm="1">
        <f t="array" aca="1" ref="J331" ca="1">INDEX(PaymentMethods[Payment Method],RANDBETWEEN(1,5))</f>
        <v>Cash</v>
      </c>
    </row>
    <row r="332" spans="1:10" x14ac:dyDescent="0.3">
      <c r="A332" t="str">
        <f t="shared" si="17"/>
        <v>O0331</v>
      </c>
      <c r="B332" s="6">
        <f ca="1">Orders[[#This Row],[Discount%]]</f>
        <v>0.1</v>
      </c>
      <c r="C332" t="str" cm="1">
        <f t="array" aca="1" ref="C332" ca="1">INDEX(Customers[Customer ID],RANDBETWEEN(1,200))</f>
        <v>C043</v>
      </c>
      <c r="D332" t="str" cm="1">
        <f t="array" aca="1" ref="D332" ca="1">INDEX(Products[Product ID],RANDBETWEEN(1,50))</f>
        <v>P043</v>
      </c>
      <c r="E332" t="str" cm="1">
        <f t="array" aca="1" ref="E332" ca="1">INDEX(Warehouses[Warehouse ID],RANDBETWEEN(1,8))</f>
        <v>W006</v>
      </c>
      <c r="F332">
        <f t="shared" ca="1" si="15"/>
        <v>7</v>
      </c>
      <c r="G332">
        <f ca="1">_xlfn.XLOOKUP(Orders[[#This Row],[Product ID]],Products[Product ID],Products[Selling Price])</f>
        <v>24500</v>
      </c>
      <c r="H332" s="6">
        <f t="shared" ca="1" si="16"/>
        <v>0.1</v>
      </c>
      <c r="I332">
        <f ca="1">Orders[[#This Row],[Quantity]]*Orders[[#This Row],[Unit Price]]*(1-Orders[[#This Row],[Discount%]])</f>
        <v>154350</v>
      </c>
      <c r="J332" t="str" cm="1">
        <f t="array" aca="1" ref="J332" ca="1">INDEX(PaymentMethods[Payment Method],RANDBETWEEN(1,5))</f>
        <v>Cash</v>
      </c>
    </row>
    <row r="333" spans="1:10" x14ac:dyDescent="0.3">
      <c r="A333" t="str">
        <f t="shared" si="17"/>
        <v>O0332</v>
      </c>
      <c r="B333" s="6">
        <f ca="1">Orders[[#This Row],[Discount%]]</f>
        <v>0</v>
      </c>
      <c r="C333" t="str" cm="1">
        <f t="array" aca="1" ref="C333" ca="1">INDEX(Customers[Customer ID],RANDBETWEEN(1,200))</f>
        <v>C126</v>
      </c>
      <c r="D333" t="str" cm="1">
        <f t="array" aca="1" ref="D333" ca="1">INDEX(Products[Product ID],RANDBETWEEN(1,50))</f>
        <v>P021</v>
      </c>
      <c r="E333" t="str" cm="1">
        <f t="array" aca="1" ref="E333" ca="1">INDEX(Warehouses[Warehouse ID],RANDBETWEEN(1,8))</f>
        <v>W003</v>
      </c>
      <c r="F333">
        <f t="shared" ca="1" si="15"/>
        <v>7</v>
      </c>
      <c r="G333">
        <f ca="1">_xlfn.XLOOKUP(Orders[[#This Row],[Product ID]],Products[Product ID],Products[Selling Price])</f>
        <v>22000</v>
      </c>
      <c r="H333" s="6">
        <f t="shared" ca="1" si="16"/>
        <v>0</v>
      </c>
      <c r="I333">
        <f ca="1">Orders[[#This Row],[Quantity]]*Orders[[#This Row],[Unit Price]]*(1-Orders[[#This Row],[Discount%]])</f>
        <v>154000</v>
      </c>
      <c r="J333" t="str" cm="1">
        <f t="array" aca="1" ref="J333" ca="1">INDEX(PaymentMethods[Payment Method],RANDBETWEEN(1,5))</f>
        <v>Cash</v>
      </c>
    </row>
    <row r="334" spans="1:10" x14ac:dyDescent="0.3">
      <c r="A334" t="str">
        <f t="shared" si="17"/>
        <v>O0333</v>
      </c>
      <c r="B334" s="6">
        <f ca="1">Orders[[#This Row],[Discount%]]</f>
        <v>0.09</v>
      </c>
      <c r="C334" t="str" cm="1">
        <f t="array" aca="1" ref="C334" ca="1">INDEX(Customers[Customer ID],RANDBETWEEN(1,200))</f>
        <v>C131</v>
      </c>
      <c r="D334" t="str" cm="1">
        <f t="array" aca="1" ref="D334" ca="1">INDEX(Products[Product ID],RANDBETWEEN(1,50))</f>
        <v>P046</v>
      </c>
      <c r="E334" t="str" cm="1">
        <f t="array" aca="1" ref="E334" ca="1">INDEX(Warehouses[Warehouse ID],RANDBETWEEN(1,8))</f>
        <v>W004</v>
      </c>
      <c r="F334">
        <f t="shared" ca="1" si="15"/>
        <v>4</v>
      </c>
      <c r="G334">
        <f ca="1">_xlfn.XLOOKUP(Orders[[#This Row],[Product ID]],Products[Product ID],Products[Selling Price])</f>
        <v>2500</v>
      </c>
      <c r="H334" s="6">
        <f t="shared" ca="1" si="16"/>
        <v>0.09</v>
      </c>
      <c r="I334">
        <f ca="1">Orders[[#This Row],[Quantity]]*Orders[[#This Row],[Unit Price]]*(1-Orders[[#This Row],[Discount%]])</f>
        <v>9100</v>
      </c>
      <c r="J334" t="str" cm="1">
        <f t="array" aca="1" ref="J334" ca="1">INDEX(PaymentMethods[Payment Method],RANDBETWEEN(1,5))</f>
        <v>Credit Card</v>
      </c>
    </row>
    <row r="335" spans="1:10" x14ac:dyDescent="0.3">
      <c r="A335" t="str">
        <f t="shared" si="17"/>
        <v>O0334</v>
      </c>
      <c r="B335" s="6">
        <f ca="1">Orders[[#This Row],[Discount%]]</f>
        <v>0.01</v>
      </c>
      <c r="C335" t="str" cm="1">
        <f t="array" aca="1" ref="C335" ca="1">INDEX(Customers[Customer ID],RANDBETWEEN(1,200))</f>
        <v>C008</v>
      </c>
      <c r="D335" t="str" cm="1">
        <f t="array" aca="1" ref="D335" ca="1">INDEX(Products[Product ID],RANDBETWEEN(1,50))</f>
        <v>P008</v>
      </c>
      <c r="E335" t="str" cm="1">
        <f t="array" aca="1" ref="E335" ca="1">INDEX(Warehouses[Warehouse ID],RANDBETWEEN(1,8))</f>
        <v>W001</v>
      </c>
      <c r="F335">
        <f t="shared" ca="1" si="15"/>
        <v>4</v>
      </c>
      <c r="G335">
        <f ca="1">_xlfn.XLOOKUP(Orders[[#This Row],[Product ID]],Products[Product ID],Products[Selling Price])</f>
        <v>4200</v>
      </c>
      <c r="H335" s="6">
        <f t="shared" ca="1" si="16"/>
        <v>0.01</v>
      </c>
      <c r="I335">
        <f ca="1">Orders[[#This Row],[Quantity]]*Orders[[#This Row],[Unit Price]]*(1-Orders[[#This Row],[Discount%]])</f>
        <v>16632</v>
      </c>
      <c r="J335" t="str" cm="1">
        <f t="array" aca="1" ref="J335" ca="1">INDEX(PaymentMethods[Payment Method],RANDBETWEEN(1,5))</f>
        <v>Credit Card</v>
      </c>
    </row>
    <row r="336" spans="1:10" x14ac:dyDescent="0.3">
      <c r="A336" t="str">
        <f t="shared" si="17"/>
        <v>O0335</v>
      </c>
      <c r="B336" s="6">
        <f ca="1">Orders[[#This Row],[Discount%]]</f>
        <v>0.02</v>
      </c>
      <c r="C336" t="str" cm="1">
        <f t="array" aca="1" ref="C336" ca="1">INDEX(Customers[Customer ID],RANDBETWEEN(1,200))</f>
        <v>C099</v>
      </c>
      <c r="D336" t="str" cm="1">
        <f t="array" aca="1" ref="D336" ca="1">INDEX(Products[Product ID],RANDBETWEEN(1,50))</f>
        <v>P035</v>
      </c>
      <c r="E336" t="str" cm="1">
        <f t="array" aca="1" ref="E336" ca="1">INDEX(Warehouses[Warehouse ID],RANDBETWEEN(1,8))</f>
        <v>W007</v>
      </c>
      <c r="F336">
        <f t="shared" ca="1" si="15"/>
        <v>6</v>
      </c>
      <c r="G336">
        <f ca="1">_xlfn.XLOOKUP(Orders[[#This Row],[Product ID]],Products[Product ID],Products[Selling Price])</f>
        <v>300</v>
      </c>
      <c r="H336" s="6">
        <f t="shared" ca="1" si="16"/>
        <v>0.02</v>
      </c>
      <c r="I336">
        <f ca="1">Orders[[#This Row],[Quantity]]*Orders[[#This Row],[Unit Price]]*(1-Orders[[#This Row],[Discount%]])</f>
        <v>1764</v>
      </c>
      <c r="J336" t="str" cm="1">
        <f t="array" aca="1" ref="J336" ca="1">INDEX(PaymentMethods[Payment Method],RANDBETWEEN(1,5))</f>
        <v>Cash</v>
      </c>
    </row>
    <row r="337" spans="1:10" x14ac:dyDescent="0.3">
      <c r="A337" t="str">
        <f t="shared" si="17"/>
        <v>O0336</v>
      </c>
      <c r="B337" s="6">
        <f ca="1">Orders[[#This Row],[Discount%]]</f>
        <v>0.15</v>
      </c>
      <c r="C337" t="str" cm="1">
        <f t="array" aca="1" ref="C337" ca="1">INDEX(Customers[Customer ID],RANDBETWEEN(1,200))</f>
        <v>C004</v>
      </c>
      <c r="D337" t="str" cm="1">
        <f t="array" aca="1" ref="D337" ca="1">INDEX(Products[Product ID],RANDBETWEEN(1,50))</f>
        <v>P008</v>
      </c>
      <c r="E337" t="str" cm="1">
        <f t="array" aca="1" ref="E337" ca="1">INDEX(Warehouses[Warehouse ID],RANDBETWEEN(1,8))</f>
        <v>W003</v>
      </c>
      <c r="F337">
        <f t="shared" ca="1" si="15"/>
        <v>9</v>
      </c>
      <c r="G337">
        <f ca="1">_xlfn.XLOOKUP(Orders[[#This Row],[Product ID]],Products[Product ID],Products[Selling Price])</f>
        <v>4200</v>
      </c>
      <c r="H337" s="6">
        <f t="shared" ca="1" si="16"/>
        <v>0.15</v>
      </c>
      <c r="I337">
        <f ca="1">Orders[[#This Row],[Quantity]]*Orders[[#This Row],[Unit Price]]*(1-Orders[[#This Row],[Discount%]])</f>
        <v>32130</v>
      </c>
      <c r="J337" t="str" cm="1">
        <f t="array" aca="1" ref="J337" ca="1">INDEX(PaymentMethods[Payment Method],RANDBETWEEN(1,5))</f>
        <v>Credit Card</v>
      </c>
    </row>
    <row r="338" spans="1:10" x14ac:dyDescent="0.3">
      <c r="A338" t="str">
        <f t="shared" si="17"/>
        <v>O0337</v>
      </c>
      <c r="B338" s="6">
        <f ca="1">Orders[[#This Row],[Discount%]]</f>
        <v>0.04</v>
      </c>
      <c r="C338" t="str" cm="1">
        <f t="array" aca="1" ref="C338" ca="1">INDEX(Customers[Customer ID],RANDBETWEEN(1,200))</f>
        <v>C123</v>
      </c>
      <c r="D338" t="str" cm="1">
        <f t="array" aca="1" ref="D338" ca="1">INDEX(Products[Product ID],RANDBETWEEN(1,50))</f>
        <v>P009</v>
      </c>
      <c r="E338" t="str" cm="1">
        <f t="array" aca="1" ref="E338" ca="1">INDEX(Warehouses[Warehouse ID],RANDBETWEEN(1,8))</f>
        <v>W005</v>
      </c>
      <c r="F338">
        <f t="shared" ca="1" si="15"/>
        <v>8</v>
      </c>
      <c r="G338">
        <f ca="1">_xlfn.XLOOKUP(Orders[[#This Row],[Product ID]],Products[Product ID],Products[Selling Price])</f>
        <v>20000</v>
      </c>
      <c r="H338" s="6">
        <f t="shared" ca="1" si="16"/>
        <v>0.04</v>
      </c>
      <c r="I338">
        <f ca="1">Orders[[#This Row],[Quantity]]*Orders[[#This Row],[Unit Price]]*(1-Orders[[#This Row],[Discount%]])</f>
        <v>153600</v>
      </c>
      <c r="J338" t="str" cm="1">
        <f t="array" aca="1" ref="J338" ca="1">INDEX(PaymentMethods[Payment Method],RANDBETWEEN(1,5))</f>
        <v>UPI</v>
      </c>
    </row>
    <row r="339" spans="1:10" x14ac:dyDescent="0.3">
      <c r="A339" t="str">
        <f t="shared" si="17"/>
        <v>O0338</v>
      </c>
      <c r="B339" s="6">
        <f ca="1">Orders[[#This Row],[Discount%]]</f>
        <v>7.0000000000000007E-2</v>
      </c>
      <c r="C339" t="str" cm="1">
        <f t="array" aca="1" ref="C339" ca="1">INDEX(Customers[Customer ID],RANDBETWEEN(1,200))</f>
        <v>C010</v>
      </c>
      <c r="D339" t="str" cm="1">
        <f t="array" aca="1" ref="D339" ca="1">INDEX(Products[Product ID],RANDBETWEEN(1,50))</f>
        <v>P005</v>
      </c>
      <c r="E339" t="str" cm="1">
        <f t="array" aca="1" ref="E339" ca="1">INDEX(Warehouses[Warehouse ID],RANDBETWEEN(1,8))</f>
        <v>W002</v>
      </c>
      <c r="F339">
        <f t="shared" ca="1" si="15"/>
        <v>4</v>
      </c>
      <c r="G339">
        <f ca="1">_xlfn.XLOOKUP(Orders[[#This Row],[Product ID]],Products[Product ID],Products[Selling Price])</f>
        <v>10500</v>
      </c>
      <c r="H339" s="6">
        <f t="shared" ca="1" si="16"/>
        <v>7.0000000000000007E-2</v>
      </c>
      <c r="I339">
        <f ca="1">Orders[[#This Row],[Quantity]]*Orders[[#This Row],[Unit Price]]*(1-Orders[[#This Row],[Discount%]])</f>
        <v>39060</v>
      </c>
      <c r="J339" t="str" cm="1">
        <f t="array" aca="1" ref="J339" ca="1">INDEX(PaymentMethods[Payment Method],RANDBETWEEN(1,5))</f>
        <v>Credit Card</v>
      </c>
    </row>
    <row r="340" spans="1:10" x14ac:dyDescent="0.3">
      <c r="A340" t="str">
        <f t="shared" si="17"/>
        <v>O0339</v>
      </c>
      <c r="B340" s="6">
        <f ca="1">Orders[[#This Row],[Discount%]]</f>
        <v>0.01</v>
      </c>
      <c r="C340" t="str" cm="1">
        <f t="array" aca="1" ref="C340" ca="1">INDEX(Customers[Customer ID],RANDBETWEEN(1,200))</f>
        <v>C194</v>
      </c>
      <c r="D340" t="str" cm="1">
        <f t="array" aca="1" ref="D340" ca="1">INDEX(Products[Product ID],RANDBETWEEN(1,50))</f>
        <v>P028</v>
      </c>
      <c r="E340" t="str" cm="1">
        <f t="array" aca="1" ref="E340" ca="1">INDEX(Warehouses[Warehouse ID],RANDBETWEEN(1,8))</f>
        <v>W006</v>
      </c>
      <c r="F340">
        <f t="shared" ca="1" si="15"/>
        <v>9</v>
      </c>
      <c r="G340">
        <f ca="1">_xlfn.XLOOKUP(Orders[[#This Row],[Product ID]],Products[Product ID],Products[Selling Price])</f>
        <v>16500</v>
      </c>
      <c r="H340" s="6">
        <f t="shared" ca="1" si="16"/>
        <v>0.01</v>
      </c>
      <c r="I340">
        <f ca="1">Orders[[#This Row],[Quantity]]*Orders[[#This Row],[Unit Price]]*(1-Orders[[#This Row],[Discount%]])</f>
        <v>147015</v>
      </c>
      <c r="J340" t="str" cm="1">
        <f t="array" aca="1" ref="J340" ca="1">INDEX(PaymentMethods[Payment Method],RANDBETWEEN(1,5))</f>
        <v>UPI</v>
      </c>
    </row>
    <row r="341" spans="1:10" x14ac:dyDescent="0.3">
      <c r="A341" t="str">
        <f t="shared" si="17"/>
        <v>O0340</v>
      </c>
      <c r="B341" s="6">
        <f ca="1">Orders[[#This Row],[Discount%]]</f>
        <v>0.02</v>
      </c>
      <c r="C341" t="str" cm="1">
        <f t="array" aca="1" ref="C341" ca="1">INDEX(Customers[Customer ID],RANDBETWEEN(1,200))</f>
        <v>C045</v>
      </c>
      <c r="D341" t="str" cm="1">
        <f t="array" aca="1" ref="D341" ca="1">INDEX(Products[Product ID],RANDBETWEEN(1,50))</f>
        <v>P049</v>
      </c>
      <c r="E341" t="str" cm="1">
        <f t="array" aca="1" ref="E341" ca="1">INDEX(Warehouses[Warehouse ID],RANDBETWEEN(1,8))</f>
        <v>W004</v>
      </c>
      <c r="F341">
        <f t="shared" ca="1" si="15"/>
        <v>4</v>
      </c>
      <c r="G341">
        <f ca="1">_xlfn.XLOOKUP(Orders[[#This Row],[Product ID]],Products[Product ID],Products[Selling Price])</f>
        <v>3800</v>
      </c>
      <c r="H341" s="6">
        <f t="shared" ca="1" si="16"/>
        <v>0.02</v>
      </c>
      <c r="I341">
        <f ca="1">Orders[[#This Row],[Quantity]]*Orders[[#This Row],[Unit Price]]*(1-Orders[[#This Row],[Discount%]])</f>
        <v>14896</v>
      </c>
      <c r="J341" t="str" cm="1">
        <f t="array" aca="1" ref="J341" ca="1">INDEX(PaymentMethods[Payment Method],RANDBETWEEN(1,5))</f>
        <v>Debit Card</v>
      </c>
    </row>
    <row r="342" spans="1:10" x14ac:dyDescent="0.3">
      <c r="A342" t="str">
        <f t="shared" si="17"/>
        <v>O0341</v>
      </c>
      <c r="B342" s="6">
        <f ca="1">Orders[[#This Row],[Discount%]]</f>
        <v>0.01</v>
      </c>
      <c r="C342" t="str" cm="1">
        <f t="array" aca="1" ref="C342" ca="1">INDEX(Customers[Customer ID],RANDBETWEEN(1,200))</f>
        <v>C087</v>
      </c>
      <c r="D342" t="str" cm="1">
        <f t="array" aca="1" ref="D342" ca="1">INDEX(Products[Product ID],RANDBETWEEN(1,50))</f>
        <v>P013</v>
      </c>
      <c r="E342" t="str" cm="1">
        <f t="array" aca="1" ref="E342" ca="1">INDEX(Warehouses[Warehouse ID],RANDBETWEEN(1,8))</f>
        <v>W002</v>
      </c>
      <c r="F342">
        <f t="shared" ca="1" si="15"/>
        <v>3</v>
      </c>
      <c r="G342">
        <f ca="1">_xlfn.XLOOKUP(Orders[[#This Row],[Product ID]],Products[Product ID],Products[Selling Price])</f>
        <v>25</v>
      </c>
      <c r="H342" s="6">
        <f t="shared" ca="1" si="16"/>
        <v>0.01</v>
      </c>
      <c r="I342">
        <f ca="1">Orders[[#This Row],[Quantity]]*Orders[[#This Row],[Unit Price]]*(1-Orders[[#This Row],[Discount%]])</f>
        <v>74.25</v>
      </c>
      <c r="J342" t="str" cm="1">
        <f t="array" aca="1" ref="J342" ca="1">INDEX(PaymentMethods[Payment Method],RANDBETWEEN(1,5))</f>
        <v>UPI</v>
      </c>
    </row>
    <row r="343" spans="1:10" x14ac:dyDescent="0.3">
      <c r="A343" t="str">
        <f t="shared" si="17"/>
        <v>O0342</v>
      </c>
      <c r="B343" s="6">
        <f ca="1">Orders[[#This Row],[Discount%]]</f>
        <v>0.15</v>
      </c>
      <c r="C343" t="str" cm="1">
        <f t="array" aca="1" ref="C343" ca="1">INDEX(Customers[Customer ID],RANDBETWEEN(1,200))</f>
        <v>C028</v>
      </c>
      <c r="D343" t="str" cm="1">
        <f t="array" aca="1" ref="D343" ca="1">INDEX(Products[Product ID],RANDBETWEEN(1,50))</f>
        <v>P029</v>
      </c>
      <c r="E343" t="str" cm="1">
        <f t="array" aca="1" ref="E343" ca="1">INDEX(Warehouses[Warehouse ID],RANDBETWEEN(1,8))</f>
        <v>W003</v>
      </c>
      <c r="F343">
        <f t="shared" ca="1" si="15"/>
        <v>8</v>
      </c>
      <c r="G343">
        <f ca="1">_xlfn.XLOOKUP(Orders[[#This Row],[Product ID]],Products[Product ID],Products[Selling Price])</f>
        <v>3200</v>
      </c>
      <c r="H343" s="6">
        <f t="shared" ca="1" si="16"/>
        <v>0.15</v>
      </c>
      <c r="I343">
        <f ca="1">Orders[[#This Row],[Quantity]]*Orders[[#This Row],[Unit Price]]*(1-Orders[[#This Row],[Discount%]])</f>
        <v>21760</v>
      </c>
      <c r="J343" t="str" cm="1">
        <f t="array" aca="1" ref="J343" ca="1">INDEX(PaymentMethods[Payment Method],RANDBETWEEN(1,5))</f>
        <v>UPI</v>
      </c>
    </row>
    <row r="344" spans="1:10" x14ac:dyDescent="0.3">
      <c r="A344" t="str">
        <f t="shared" si="17"/>
        <v>O0343</v>
      </c>
      <c r="B344" s="6">
        <f ca="1">Orders[[#This Row],[Discount%]]</f>
        <v>0</v>
      </c>
      <c r="C344" t="str" cm="1">
        <f t="array" aca="1" ref="C344" ca="1">INDEX(Customers[Customer ID],RANDBETWEEN(1,200))</f>
        <v>C160</v>
      </c>
      <c r="D344" t="str" cm="1">
        <f t="array" aca="1" ref="D344" ca="1">INDEX(Products[Product ID],RANDBETWEEN(1,50))</f>
        <v>P041</v>
      </c>
      <c r="E344" t="str" cm="1">
        <f t="array" aca="1" ref="E344" ca="1">INDEX(Warehouses[Warehouse ID],RANDBETWEEN(1,8))</f>
        <v>W007</v>
      </c>
      <c r="F344">
        <f t="shared" ca="1" si="15"/>
        <v>9</v>
      </c>
      <c r="G344">
        <f ca="1">_xlfn.XLOOKUP(Orders[[#This Row],[Product ID]],Products[Product ID],Products[Selling Price])</f>
        <v>36000</v>
      </c>
      <c r="H344" s="6">
        <f t="shared" ca="1" si="16"/>
        <v>0</v>
      </c>
      <c r="I344">
        <f ca="1">Orders[[#This Row],[Quantity]]*Orders[[#This Row],[Unit Price]]*(1-Orders[[#This Row],[Discount%]])</f>
        <v>324000</v>
      </c>
      <c r="J344" t="str" cm="1">
        <f t="array" aca="1" ref="J344" ca="1">INDEX(PaymentMethods[Payment Method],RANDBETWEEN(1,5))</f>
        <v>Debit Card</v>
      </c>
    </row>
    <row r="345" spans="1:10" x14ac:dyDescent="0.3">
      <c r="A345" t="str">
        <f t="shared" si="17"/>
        <v>O0344</v>
      </c>
      <c r="B345" s="6">
        <f ca="1">Orders[[#This Row],[Discount%]]</f>
        <v>0.13</v>
      </c>
      <c r="C345" t="str" cm="1">
        <f t="array" aca="1" ref="C345" ca="1">INDEX(Customers[Customer ID],RANDBETWEEN(1,200))</f>
        <v>C117</v>
      </c>
      <c r="D345" t="str" cm="1">
        <f t="array" aca="1" ref="D345" ca="1">INDEX(Products[Product ID],RANDBETWEEN(1,50))</f>
        <v>P016</v>
      </c>
      <c r="E345" t="str" cm="1">
        <f t="array" aca="1" ref="E345" ca="1">INDEX(Warehouses[Warehouse ID],RANDBETWEEN(1,8))</f>
        <v>W004</v>
      </c>
      <c r="F345">
        <f t="shared" ca="1" si="15"/>
        <v>2</v>
      </c>
      <c r="G345">
        <f ca="1">_xlfn.XLOOKUP(Orders[[#This Row],[Product ID]],Products[Product ID],Products[Selling Price])</f>
        <v>2500</v>
      </c>
      <c r="H345" s="6">
        <f t="shared" ca="1" si="16"/>
        <v>0.13</v>
      </c>
      <c r="I345">
        <f ca="1">Orders[[#This Row],[Quantity]]*Orders[[#This Row],[Unit Price]]*(1-Orders[[#This Row],[Discount%]])</f>
        <v>4350</v>
      </c>
      <c r="J345" t="str" cm="1">
        <f t="array" aca="1" ref="J345" ca="1">INDEX(PaymentMethods[Payment Method],RANDBETWEEN(1,5))</f>
        <v>Net Banking</v>
      </c>
    </row>
    <row r="346" spans="1:10" x14ac:dyDescent="0.3">
      <c r="A346" t="str">
        <f t="shared" si="17"/>
        <v>O0345</v>
      </c>
      <c r="B346" s="6">
        <f ca="1">Orders[[#This Row],[Discount%]]</f>
        <v>0.13</v>
      </c>
      <c r="C346" t="str" cm="1">
        <f t="array" aca="1" ref="C346" ca="1">INDEX(Customers[Customer ID],RANDBETWEEN(1,200))</f>
        <v>C066</v>
      </c>
      <c r="D346" t="str" cm="1">
        <f t="array" aca="1" ref="D346" ca="1">INDEX(Products[Product ID],RANDBETWEEN(1,50))</f>
        <v>P014</v>
      </c>
      <c r="E346" t="str" cm="1">
        <f t="array" aca="1" ref="E346" ca="1">INDEX(Warehouses[Warehouse ID],RANDBETWEEN(1,8))</f>
        <v>W001</v>
      </c>
      <c r="F346">
        <f t="shared" ca="1" si="15"/>
        <v>6</v>
      </c>
      <c r="G346">
        <f ca="1">_xlfn.XLOOKUP(Orders[[#This Row],[Product ID]],Products[Product ID],Products[Selling Price])</f>
        <v>800</v>
      </c>
      <c r="H346" s="6">
        <f t="shared" ca="1" si="16"/>
        <v>0.13</v>
      </c>
      <c r="I346">
        <f ca="1">Orders[[#This Row],[Quantity]]*Orders[[#This Row],[Unit Price]]*(1-Orders[[#This Row],[Discount%]])</f>
        <v>4176</v>
      </c>
      <c r="J346" t="str" cm="1">
        <f t="array" aca="1" ref="J346" ca="1">INDEX(PaymentMethods[Payment Method],RANDBETWEEN(1,5))</f>
        <v>Net Banking</v>
      </c>
    </row>
    <row r="347" spans="1:10" x14ac:dyDescent="0.3">
      <c r="A347" t="str">
        <f t="shared" si="17"/>
        <v>O0346</v>
      </c>
      <c r="B347" s="6">
        <f ca="1">Orders[[#This Row],[Discount%]]</f>
        <v>0.2</v>
      </c>
      <c r="C347" t="str" cm="1">
        <f t="array" aca="1" ref="C347" ca="1">INDEX(Customers[Customer ID],RANDBETWEEN(1,200))</f>
        <v>C064</v>
      </c>
      <c r="D347" t="str" cm="1">
        <f t="array" aca="1" ref="D347" ca="1">INDEX(Products[Product ID],RANDBETWEEN(1,50))</f>
        <v>P007</v>
      </c>
      <c r="E347" t="str" cm="1">
        <f t="array" aca="1" ref="E347" ca="1">INDEX(Warehouses[Warehouse ID],RANDBETWEEN(1,8))</f>
        <v>W007</v>
      </c>
      <c r="F347">
        <f t="shared" ca="1" si="15"/>
        <v>2</v>
      </c>
      <c r="G347">
        <f ca="1">_xlfn.XLOOKUP(Orders[[#This Row],[Product ID]],Products[Product ID],Products[Selling Price])</f>
        <v>6000</v>
      </c>
      <c r="H347" s="6">
        <f t="shared" ca="1" si="16"/>
        <v>0.2</v>
      </c>
      <c r="I347">
        <f ca="1">Orders[[#This Row],[Quantity]]*Orders[[#This Row],[Unit Price]]*(1-Orders[[#This Row],[Discount%]])</f>
        <v>9600</v>
      </c>
      <c r="J347" t="str" cm="1">
        <f t="array" aca="1" ref="J347" ca="1">INDEX(PaymentMethods[Payment Method],RANDBETWEEN(1,5))</f>
        <v>Cash</v>
      </c>
    </row>
    <row r="348" spans="1:10" x14ac:dyDescent="0.3">
      <c r="A348" t="str">
        <f t="shared" si="17"/>
        <v>O0347</v>
      </c>
      <c r="B348" s="6">
        <f ca="1">Orders[[#This Row],[Discount%]]</f>
        <v>0.17</v>
      </c>
      <c r="C348" t="str" cm="1">
        <f t="array" aca="1" ref="C348" ca="1">INDEX(Customers[Customer ID],RANDBETWEEN(1,200))</f>
        <v>C007</v>
      </c>
      <c r="D348" t="str" cm="1">
        <f t="array" aca="1" ref="D348" ca="1">INDEX(Products[Product ID],RANDBETWEEN(1,50))</f>
        <v>P016</v>
      </c>
      <c r="E348" t="str" cm="1">
        <f t="array" aca="1" ref="E348" ca="1">INDEX(Warehouses[Warehouse ID],RANDBETWEEN(1,8))</f>
        <v>W001</v>
      </c>
      <c r="F348">
        <f t="shared" ca="1" si="15"/>
        <v>4</v>
      </c>
      <c r="G348">
        <f ca="1">_xlfn.XLOOKUP(Orders[[#This Row],[Product ID]],Products[Product ID],Products[Selling Price])</f>
        <v>2500</v>
      </c>
      <c r="H348" s="6">
        <f t="shared" ca="1" si="16"/>
        <v>0.17</v>
      </c>
      <c r="I348">
        <f ca="1">Orders[[#This Row],[Quantity]]*Orders[[#This Row],[Unit Price]]*(1-Orders[[#This Row],[Discount%]])</f>
        <v>8300</v>
      </c>
      <c r="J348" t="str" cm="1">
        <f t="array" aca="1" ref="J348" ca="1">INDEX(PaymentMethods[Payment Method],RANDBETWEEN(1,5))</f>
        <v>Cash</v>
      </c>
    </row>
    <row r="349" spans="1:10" x14ac:dyDescent="0.3">
      <c r="A349" t="str">
        <f t="shared" si="17"/>
        <v>O0348</v>
      </c>
      <c r="B349" s="6">
        <f ca="1">Orders[[#This Row],[Discount%]]</f>
        <v>0.05</v>
      </c>
      <c r="C349" t="str" cm="1">
        <f t="array" aca="1" ref="C349" ca="1">INDEX(Customers[Customer ID],RANDBETWEEN(1,200))</f>
        <v>C042</v>
      </c>
      <c r="D349" t="str" cm="1">
        <f t="array" aca="1" ref="D349" ca="1">INDEX(Products[Product ID],RANDBETWEEN(1,50))</f>
        <v>P031</v>
      </c>
      <c r="E349" t="str" cm="1">
        <f t="array" aca="1" ref="E349" ca="1">INDEX(Warehouses[Warehouse ID],RANDBETWEEN(1,8))</f>
        <v>W006</v>
      </c>
      <c r="F349">
        <f t="shared" ca="1" si="15"/>
        <v>4</v>
      </c>
      <c r="G349">
        <f ca="1">_xlfn.XLOOKUP(Orders[[#This Row],[Product ID]],Products[Product ID],Products[Selling Price])</f>
        <v>90</v>
      </c>
      <c r="H349" s="6">
        <f t="shared" ca="1" si="16"/>
        <v>0.05</v>
      </c>
      <c r="I349">
        <f ca="1">Orders[[#This Row],[Quantity]]*Orders[[#This Row],[Unit Price]]*(1-Orders[[#This Row],[Discount%]])</f>
        <v>342</v>
      </c>
      <c r="J349" t="str" cm="1">
        <f t="array" aca="1" ref="J349" ca="1">INDEX(PaymentMethods[Payment Method],RANDBETWEEN(1,5))</f>
        <v>Credit Card</v>
      </c>
    </row>
    <row r="350" spans="1:10" x14ac:dyDescent="0.3">
      <c r="A350" t="str">
        <f t="shared" si="17"/>
        <v>O0349</v>
      </c>
      <c r="B350" s="6">
        <f ca="1">Orders[[#This Row],[Discount%]]</f>
        <v>0.15</v>
      </c>
      <c r="C350" t="str" cm="1">
        <f t="array" aca="1" ref="C350" ca="1">INDEX(Customers[Customer ID],RANDBETWEEN(1,200))</f>
        <v>C190</v>
      </c>
      <c r="D350" t="str" cm="1">
        <f t="array" aca="1" ref="D350" ca="1">INDEX(Products[Product ID],RANDBETWEEN(1,50))</f>
        <v>P022</v>
      </c>
      <c r="E350" t="str" cm="1">
        <f t="array" aca="1" ref="E350" ca="1">INDEX(Warehouses[Warehouse ID],RANDBETWEEN(1,8))</f>
        <v>W008</v>
      </c>
      <c r="F350">
        <f t="shared" ca="1" si="15"/>
        <v>8</v>
      </c>
      <c r="G350">
        <f ca="1">_xlfn.XLOOKUP(Orders[[#This Row],[Product ID]],Products[Product ID],Products[Selling Price])</f>
        <v>5000</v>
      </c>
      <c r="H350" s="6">
        <f t="shared" ca="1" si="16"/>
        <v>0.15</v>
      </c>
      <c r="I350">
        <f ca="1">Orders[[#This Row],[Quantity]]*Orders[[#This Row],[Unit Price]]*(1-Orders[[#This Row],[Discount%]])</f>
        <v>34000</v>
      </c>
      <c r="J350" t="str" cm="1">
        <f t="array" aca="1" ref="J350" ca="1">INDEX(PaymentMethods[Payment Method],RANDBETWEEN(1,5))</f>
        <v>UPI</v>
      </c>
    </row>
    <row r="351" spans="1:10" x14ac:dyDescent="0.3">
      <c r="A351" t="str">
        <f t="shared" si="17"/>
        <v>O0350</v>
      </c>
      <c r="B351" s="6">
        <f ca="1">Orders[[#This Row],[Discount%]]</f>
        <v>0.12</v>
      </c>
      <c r="C351" t="str" cm="1">
        <f t="array" aca="1" ref="C351" ca="1">INDEX(Customers[Customer ID],RANDBETWEEN(1,200))</f>
        <v>C116</v>
      </c>
      <c r="D351" t="str" cm="1">
        <f t="array" aca="1" ref="D351" ca="1">INDEX(Products[Product ID],RANDBETWEEN(1,50))</f>
        <v>P044</v>
      </c>
      <c r="E351" t="str" cm="1">
        <f t="array" aca="1" ref="E351" ca="1">INDEX(Warehouses[Warehouse ID],RANDBETWEEN(1,8))</f>
        <v>W004</v>
      </c>
      <c r="F351">
        <f t="shared" ca="1" si="15"/>
        <v>4</v>
      </c>
      <c r="G351">
        <f ca="1">_xlfn.XLOOKUP(Orders[[#This Row],[Product ID]],Products[Product ID],Products[Selling Price])</f>
        <v>8500</v>
      </c>
      <c r="H351" s="6">
        <f t="shared" ca="1" si="16"/>
        <v>0.12</v>
      </c>
      <c r="I351">
        <f ca="1">Orders[[#This Row],[Quantity]]*Orders[[#This Row],[Unit Price]]*(1-Orders[[#This Row],[Discount%]])</f>
        <v>29920</v>
      </c>
      <c r="J351" t="str" cm="1">
        <f t="array" aca="1" ref="J351" ca="1">INDEX(PaymentMethods[Payment Method],RANDBETWEEN(1,5))</f>
        <v>Credit Card</v>
      </c>
    </row>
    <row r="352" spans="1:10" x14ac:dyDescent="0.3">
      <c r="A352" t="str">
        <f t="shared" si="17"/>
        <v>O0351</v>
      </c>
      <c r="B352" s="6">
        <f ca="1">Orders[[#This Row],[Discount%]]</f>
        <v>0.2</v>
      </c>
      <c r="C352" t="str" cm="1">
        <f t="array" aca="1" ref="C352" ca="1">INDEX(Customers[Customer ID],RANDBETWEEN(1,200))</f>
        <v>C003</v>
      </c>
      <c r="D352" t="str" cm="1">
        <f t="array" aca="1" ref="D352" ca="1">INDEX(Products[Product ID],RANDBETWEEN(1,50))</f>
        <v>P005</v>
      </c>
      <c r="E352" t="str" cm="1">
        <f t="array" aca="1" ref="E352" ca="1">INDEX(Warehouses[Warehouse ID],RANDBETWEEN(1,8))</f>
        <v>W007</v>
      </c>
      <c r="F352">
        <f t="shared" ca="1" si="15"/>
        <v>4</v>
      </c>
      <c r="G352">
        <f ca="1">_xlfn.XLOOKUP(Orders[[#This Row],[Product ID]],Products[Product ID],Products[Selling Price])</f>
        <v>10500</v>
      </c>
      <c r="H352" s="6">
        <f t="shared" ca="1" si="16"/>
        <v>0.2</v>
      </c>
      <c r="I352">
        <f ca="1">Orders[[#This Row],[Quantity]]*Orders[[#This Row],[Unit Price]]*(1-Orders[[#This Row],[Discount%]])</f>
        <v>33600</v>
      </c>
      <c r="J352" t="str" cm="1">
        <f t="array" aca="1" ref="J352" ca="1">INDEX(PaymentMethods[Payment Method],RANDBETWEEN(1,5))</f>
        <v>Net Banking</v>
      </c>
    </row>
    <row r="353" spans="1:10" x14ac:dyDescent="0.3">
      <c r="A353" t="str">
        <f t="shared" si="17"/>
        <v>O0352</v>
      </c>
      <c r="B353" s="6">
        <f ca="1">Orders[[#This Row],[Discount%]]</f>
        <v>0.11</v>
      </c>
      <c r="C353" t="str" cm="1">
        <f t="array" aca="1" ref="C353" ca="1">INDEX(Customers[Customer ID],RANDBETWEEN(1,200))</f>
        <v>C091</v>
      </c>
      <c r="D353" t="str" cm="1">
        <f t="array" aca="1" ref="D353" ca="1">INDEX(Products[Product ID],RANDBETWEEN(1,50))</f>
        <v>P037</v>
      </c>
      <c r="E353" t="str" cm="1">
        <f t="array" aca="1" ref="E353" ca="1">INDEX(Warehouses[Warehouse ID],RANDBETWEEN(1,8))</f>
        <v>W006</v>
      </c>
      <c r="F353">
        <f t="shared" ca="1" si="15"/>
        <v>7</v>
      </c>
      <c r="G353">
        <f ca="1">_xlfn.XLOOKUP(Orders[[#This Row],[Product ID]],Products[Product ID],Products[Selling Price])</f>
        <v>550</v>
      </c>
      <c r="H353" s="6">
        <f t="shared" ca="1" si="16"/>
        <v>0.11</v>
      </c>
      <c r="I353">
        <f ca="1">Orders[[#This Row],[Quantity]]*Orders[[#This Row],[Unit Price]]*(1-Orders[[#This Row],[Discount%]])</f>
        <v>3426.5</v>
      </c>
      <c r="J353" t="str" cm="1">
        <f t="array" aca="1" ref="J353" ca="1">INDEX(PaymentMethods[Payment Method],RANDBETWEEN(1,5))</f>
        <v>UPI</v>
      </c>
    </row>
    <row r="354" spans="1:10" x14ac:dyDescent="0.3">
      <c r="A354" t="str">
        <f t="shared" si="17"/>
        <v>O0353</v>
      </c>
      <c r="B354" s="6">
        <f ca="1">Orders[[#This Row],[Discount%]]</f>
        <v>0.03</v>
      </c>
      <c r="C354" t="str" cm="1">
        <f t="array" aca="1" ref="C354" ca="1">INDEX(Customers[Customer ID],RANDBETWEEN(1,200))</f>
        <v>C100</v>
      </c>
      <c r="D354" t="str" cm="1">
        <f t="array" aca="1" ref="D354" ca="1">INDEX(Products[Product ID],RANDBETWEEN(1,50))</f>
        <v>P025</v>
      </c>
      <c r="E354" t="str" cm="1">
        <f t="array" aca="1" ref="E354" ca="1">INDEX(Warehouses[Warehouse ID],RANDBETWEEN(1,8))</f>
        <v>W004</v>
      </c>
      <c r="F354">
        <f t="shared" ca="1" si="15"/>
        <v>10</v>
      </c>
      <c r="G354">
        <f ca="1">_xlfn.XLOOKUP(Orders[[#This Row],[Product ID]],Products[Product ID],Products[Selling Price])</f>
        <v>1800</v>
      </c>
      <c r="H354" s="6">
        <f t="shared" ca="1" si="16"/>
        <v>0.03</v>
      </c>
      <c r="I354">
        <f ca="1">Orders[[#This Row],[Quantity]]*Orders[[#This Row],[Unit Price]]*(1-Orders[[#This Row],[Discount%]])</f>
        <v>17460</v>
      </c>
      <c r="J354" t="str" cm="1">
        <f t="array" aca="1" ref="J354" ca="1">INDEX(PaymentMethods[Payment Method],RANDBETWEEN(1,5))</f>
        <v>Credit Card</v>
      </c>
    </row>
    <row r="355" spans="1:10" x14ac:dyDescent="0.3">
      <c r="A355" t="str">
        <f t="shared" si="17"/>
        <v>O0354</v>
      </c>
      <c r="B355" s="6">
        <f ca="1">Orders[[#This Row],[Discount%]]</f>
        <v>0.06</v>
      </c>
      <c r="C355" t="str" cm="1">
        <f t="array" aca="1" ref="C355" ca="1">INDEX(Customers[Customer ID],RANDBETWEEN(1,200))</f>
        <v>C062</v>
      </c>
      <c r="D355" t="str" cm="1">
        <f t="array" aca="1" ref="D355" ca="1">INDEX(Products[Product ID],RANDBETWEEN(1,50))</f>
        <v>P035</v>
      </c>
      <c r="E355" t="str" cm="1">
        <f t="array" aca="1" ref="E355" ca="1">INDEX(Warehouses[Warehouse ID],RANDBETWEEN(1,8))</f>
        <v>W006</v>
      </c>
      <c r="F355">
        <f t="shared" ca="1" si="15"/>
        <v>7</v>
      </c>
      <c r="G355">
        <f ca="1">_xlfn.XLOOKUP(Orders[[#This Row],[Product ID]],Products[Product ID],Products[Selling Price])</f>
        <v>300</v>
      </c>
      <c r="H355" s="6">
        <f t="shared" ca="1" si="16"/>
        <v>0.06</v>
      </c>
      <c r="I355">
        <f ca="1">Orders[[#This Row],[Quantity]]*Orders[[#This Row],[Unit Price]]*(1-Orders[[#This Row],[Discount%]])</f>
        <v>1974</v>
      </c>
      <c r="J355" t="str" cm="1">
        <f t="array" aca="1" ref="J355" ca="1">INDEX(PaymentMethods[Payment Method],RANDBETWEEN(1,5))</f>
        <v>Net Banking</v>
      </c>
    </row>
    <row r="356" spans="1:10" x14ac:dyDescent="0.3">
      <c r="A356" t="str">
        <f t="shared" si="17"/>
        <v>O0355</v>
      </c>
      <c r="B356" s="6">
        <f ca="1">Orders[[#This Row],[Discount%]]</f>
        <v>0.02</v>
      </c>
      <c r="C356" t="str" cm="1">
        <f t="array" aca="1" ref="C356" ca="1">INDEX(Customers[Customer ID],RANDBETWEEN(1,200))</f>
        <v>C063</v>
      </c>
      <c r="D356" t="str" cm="1">
        <f t="array" aca="1" ref="D356" ca="1">INDEX(Products[Product ID],RANDBETWEEN(1,50))</f>
        <v>P035</v>
      </c>
      <c r="E356" t="str" cm="1">
        <f t="array" aca="1" ref="E356" ca="1">INDEX(Warehouses[Warehouse ID],RANDBETWEEN(1,8))</f>
        <v>W005</v>
      </c>
      <c r="F356">
        <f t="shared" ca="1" si="15"/>
        <v>4</v>
      </c>
      <c r="G356">
        <f ca="1">_xlfn.XLOOKUP(Orders[[#This Row],[Product ID]],Products[Product ID],Products[Selling Price])</f>
        <v>300</v>
      </c>
      <c r="H356" s="6">
        <f t="shared" ca="1" si="16"/>
        <v>0.02</v>
      </c>
      <c r="I356">
        <f ca="1">Orders[[#This Row],[Quantity]]*Orders[[#This Row],[Unit Price]]*(1-Orders[[#This Row],[Discount%]])</f>
        <v>1176</v>
      </c>
      <c r="J356" t="str" cm="1">
        <f t="array" aca="1" ref="J356" ca="1">INDEX(PaymentMethods[Payment Method],RANDBETWEEN(1,5))</f>
        <v>Credit Card</v>
      </c>
    </row>
    <row r="357" spans="1:10" x14ac:dyDescent="0.3">
      <c r="A357" t="str">
        <f t="shared" si="17"/>
        <v>O0356</v>
      </c>
      <c r="B357" s="6">
        <f ca="1">Orders[[#This Row],[Discount%]]</f>
        <v>0.15</v>
      </c>
      <c r="C357" t="str" cm="1">
        <f t="array" aca="1" ref="C357" ca="1">INDEX(Customers[Customer ID],RANDBETWEEN(1,200))</f>
        <v>C146</v>
      </c>
      <c r="D357" t="str" cm="1">
        <f t="array" aca="1" ref="D357" ca="1">INDEX(Products[Product ID],RANDBETWEEN(1,50))</f>
        <v>P049</v>
      </c>
      <c r="E357" t="str" cm="1">
        <f t="array" aca="1" ref="E357" ca="1">INDEX(Warehouses[Warehouse ID],RANDBETWEEN(1,8))</f>
        <v>W002</v>
      </c>
      <c r="F357">
        <f t="shared" ca="1" si="15"/>
        <v>6</v>
      </c>
      <c r="G357">
        <f ca="1">_xlfn.XLOOKUP(Orders[[#This Row],[Product ID]],Products[Product ID],Products[Selling Price])</f>
        <v>3800</v>
      </c>
      <c r="H357" s="6">
        <f t="shared" ca="1" si="16"/>
        <v>0.15</v>
      </c>
      <c r="I357">
        <f ca="1">Orders[[#This Row],[Quantity]]*Orders[[#This Row],[Unit Price]]*(1-Orders[[#This Row],[Discount%]])</f>
        <v>19380</v>
      </c>
      <c r="J357" t="str" cm="1">
        <f t="array" aca="1" ref="J357" ca="1">INDEX(PaymentMethods[Payment Method],RANDBETWEEN(1,5))</f>
        <v>Debit Card</v>
      </c>
    </row>
    <row r="358" spans="1:10" x14ac:dyDescent="0.3">
      <c r="A358" t="str">
        <f t="shared" si="17"/>
        <v>O0357</v>
      </c>
      <c r="B358" s="6">
        <f ca="1">Orders[[#This Row],[Discount%]]</f>
        <v>0.06</v>
      </c>
      <c r="C358" t="str" cm="1">
        <f t="array" aca="1" ref="C358" ca="1">INDEX(Customers[Customer ID],RANDBETWEEN(1,200))</f>
        <v>C068</v>
      </c>
      <c r="D358" t="str" cm="1">
        <f t="array" aca="1" ref="D358" ca="1">INDEX(Products[Product ID],RANDBETWEEN(1,50))</f>
        <v>P015</v>
      </c>
      <c r="E358" t="str" cm="1">
        <f t="array" aca="1" ref="E358" ca="1">INDEX(Warehouses[Warehouse ID],RANDBETWEEN(1,8))</f>
        <v>W002</v>
      </c>
      <c r="F358">
        <f t="shared" ca="1" si="15"/>
        <v>10</v>
      </c>
      <c r="G358">
        <f ca="1">_xlfn.XLOOKUP(Orders[[#This Row],[Product ID]],Products[Product ID],Products[Selling Price])</f>
        <v>1800</v>
      </c>
      <c r="H358" s="6">
        <f t="shared" ca="1" si="16"/>
        <v>0.06</v>
      </c>
      <c r="I358">
        <f ca="1">Orders[[#This Row],[Quantity]]*Orders[[#This Row],[Unit Price]]*(1-Orders[[#This Row],[Discount%]])</f>
        <v>16920</v>
      </c>
      <c r="J358" t="str" cm="1">
        <f t="array" aca="1" ref="J358" ca="1">INDEX(PaymentMethods[Payment Method],RANDBETWEEN(1,5))</f>
        <v>Cash</v>
      </c>
    </row>
    <row r="359" spans="1:10" x14ac:dyDescent="0.3">
      <c r="A359" t="str">
        <f t="shared" si="17"/>
        <v>O0358</v>
      </c>
      <c r="B359" s="6">
        <f ca="1">Orders[[#This Row],[Discount%]]</f>
        <v>0.18</v>
      </c>
      <c r="C359" t="str" cm="1">
        <f t="array" aca="1" ref="C359" ca="1">INDEX(Customers[Customer ID],RANDBETWEEN(1,200))</f>
        <v>C151</v>
      </c>
      <c r="D359" t="str" cm="1">
        <f t="array" aca="1" ref="D359" ca="1">INDEX(Products[Product ID],RANDBETWEEN(1,50))</f>
        <v>P044</v>
      </c>
      <c r="E359" t="str" cm="1">
        <f t="array" aca="1" ref="E359" ca="1">INDEX(Warehouses[Warehouse ID],RANDBETWEEN(1,8))</f>
        <v>W002</v>
      </c>
      <c r="F359">
        <f t="shared" ca="1" si="15"/>
        <v>5</v>
      </c>
      <c r="G359">
        <f ca="1">_xlfn.XLOOKUP(Orders[[#This Row],[Product ID]],Products[Product ID],Products[Selling Price])</f>
        <v>8500</v>
      </c>
      <c r="H359" s="6">
        <f t="shared" ca="1" si="16"/>
        <v>0.18</v>
      </c>
      <c r="I359">
        <f ca="1">Orders[[#This Row],[Quantity]]*Orders[[#This Row],[Unit Price]]*(1-Orders[[#This Row],[Discount%]])</f>
        <v>34850</v>
      </c>
      <c r="J359" t="str" cm="1">
        <f t="array" aca="1" ref="J359" ca="1">INDEX(PaymentMethods[Payment Method],RANDBETWEEN(1,5))</f>
        <v>Debit Card</v>
      </c>
    </row>
    <row r="360" spans="1:10" x14ac:dyDescent="0.3">
      <c r="A360" t="str">
        <f t="shared" si="17"/>
        <v>O0359</v>
      </c>
      <c r="B360" s="6">
        <f ca="1">Orders[[#This Row],[Discount%]]</f>
        <v>0.13</v>
      </c>
      <c r="C360" t="str" cm="1">
        <f t="array" aca="1" ref="C360" ca="1">INDEX(Customers[Customer ID],RANDBETWEEN(1,200))</f>
        <v>C068</v>
      </c>
      <c r="D360" t="str" cm="1">
        <f t="array" aca="1" ref="D360" ca="1">INDEX(Products[Product ID],RANDBETWEEN(1,50))</f>
        <v>P042</v>
      </c>
      <c r="E360" t="str" cm="1">
        <f t="array" aca="1" ref="E360" ca="1">INDEX(Warehouses[Warehouse ID],RANDBETWEEN(1,8))</f>
        <v>W003</v>
      </c>
      <c r="F360">
        <f t="shared" ca="1" si="15"/>
        <v>10</v>
      </c>
      <c r="G360">
        <f ca="1">_xlfn.XLOOKUP(Orders[[#This Row],[Product ID]],Products[Product ID],Products[Selling Price])</f>
        <v>29000</v>
      </c>
      <c r="H360" s="6">
        <f t="shared" ca="1" si="16"/>
        <v>0.13</v>
      </c>
      <c r="I360">
        <f ca="1">Orders[[#This Row],[Quantity]]*Orders[[#This Row],[Unit Price]]*(1-Orders[[#This Row],[Discount%]])</f>
        <v>252300</v>
      </c>
      <c r="J360" t="str" cm="1">
        <f t="array" aca="1" ref="J360" ca="1">INDEX(PaymentMethods[Payment Method],RANDBETWEEN(1,5))</f>
        <v>Cash</v>
      </c>
    </row>
    <row r="361" spans="1:10" x14ac:dyDescent="0.3">
      <c r="A361" t="str">
        <f t="shared" si="17"/>
        <v>O0360</v>
      </c>
      <c r="B361" s="6">
        <f ca="1">Orders[[#This Row],[Discount%]]</f>
        <v>0.17</v>
      </c>
      <c r="C361" t="str" cm="1">
        <f t="array" aca="1" ref="C361" ca="1">INDEX(Customers[Customer ID],RANDBETWEEN(1,200))</f>
        <v>C059</v>
      </c>
      <c r="D361" t="str" cm="1">
        <f t="array" aca="1" ref="D361" ca="1">INDEX(Products[Product ID],RANDBETWEEN(1,50))</f>
        <v>P040</v>
      </c>
      <c r="E361" t="str" cm="1">
        <f t="array" aca="1" ref="E361" ca="1">INDEX(Warehouses[Warehouse ID],RANDBETWEEN(1,8))</f>
        <v>W008</v>
      </c>
      <c r="F361">
        <f t="shared" ca="1" si="15"/>
        <v>1</v>
      </c>
      <c r="G361">
        <f ca="1">_xlfn.XLOOKUP(Orders[[#This Row],[Product ID]],Products[Product ID],Products[Selling Price])</f>
        <v>180</v>
      </c>
      <c r="H361" s="6">
        <f t="shared" ca="1" si="16"/>
        <v>0.17</v>
      </c>
      <c r="I361">
        <f ca="1">Orders[[#This Row],[Quantity]]*Orders[[#This Row],[Unit Price]]*(1-Orders[[#This Row],[Discount%]])</f>
        <v>149.4</v>
      </c>
      <c r="J361" t="str" cm="1">
        <f t="array" aca="1" ref="J361" ca="1">INDEX(PaymentMethods[Payment Method],RANDBETWEEN(1,5))</f>
        <v>Cash</v>
      </c>
    </row>
    <row r="362" spans="1:10" x14ac:dyDescent="0.3">
      <c r="A362" t="str">
        <f t="shared" si="17"/>
        <v>O0361</v>
      </c>
      <c r="B362" s="6">
        <f ca="1">Orders[[#This Row],[Discount%]]</f>
        <v>0.13</v>
      </c>
      <c r="C362" t="str" cm="1">
        <f t="array" aca="1" ref="C362" ca="1">INDEX(Customers[Customer ID],RANDBETWEEN(1,200))</f>
        <v>C062</v>
      </c>
      <c r="D362" t="str" cm="1">
        <f t="array" aca="1" ref="D362" ca="1">INDEX(Products[Product ID],RANDBETWEEN(1,50))</f>
        <v>P009</v>
      </c>
      <c r="E362" t="str" cm="1">
        <f t="array" aca="1" ref="E362" ca="1">INDEX(Warehouses[Warehouse ID],RANDBETWEEN(1,8))</f>
        <v>W008</v>
      </c>
      <c r="F362">
        <f t="shared" ca="1" si="15"/>
        <v>6</v>
      </c>
      <c r="G362">
        <f ca="1">_xlfn.XLOOKUP(Orders[[#This Row],[Product ID]],Products[Product ID],Products[Selling Price])</f>
        <v>20000</v>
      </c>
      <c r="H362" s="6">
        <f t="shared" ca="1" si="16"/>
        <v>0.13</v>
      </c>
      <c r="I362">
        <f ca="1">Orders[[#This Row],[Quantity]]*Orders[[#This Row],[Unit Price]]*(1-Orders[[#This Row],[Discount%]])</f>
        <v>104400</v>
      </c>
      <c r="J362" t="str" cm="1">
        <f t="array" aca="1" ref="J362" ca="1">INDEX(PaymentMethods[Payment Method],RANDBETWEEN(1,5))</f>
        <v>Credit Card</v>
      </c>
    </row>
    <row r="363" spans="1:10" x14ac:dyDescent="0.3">
      <c r="A363" t="str">
        <f t="shared" si="17"/>
        <v>O0362</v>
      </c>
      <c r="B363" s="6">
        <f ca="1">Orders[[#This Row],[Discount%]]</f>
        <v>0.16</v>
      </c>
      <c r="C363" t="str" cm="1">
        <f t="array" aca="1" ref="C363" ca="1">INDEX(Customers[Customer ID],RANDBETWEEN(1,200))</f>
        <v>C069</v>
      </c>
      <c r="D363" t="str" cm="1">
        <f t="array" aca="1" ref="D363" ca="1">INDEX(Products[Product ID],RANDBETWEEN(1,50))</f>
        <v>P018</v>
      </c>
      <c r="E363" t="str" cm="1">
        <f t="array" aca="1" ref="E363" ca="1">INDEX(Warehouses[Warehouse ID],RANDBETWEEN(1,8))</f>
        <v>W003</v>
      </c>
      <c r="F363">
        <f t="shared" ca="1" si="15"/>
        <v>10</v>
      </c>
      <c r="G363">
        <f ca="1">_xlfn.XLOOKUP(Orders[[#This Row],[Product ID]],Products[Product ID],Products[Selling Price])</f>
        <v>1500</v>
      </c>
      <c r="H363" s="6">
        <f t="shared" ca="1" si="16"/>
        <v>0.16</v>
      </c>
      <c r="I363">
        <f ca="1">Orders[[#This Row],[Quantity]]*Orders[[#This Row],[Unit Price]]*(1-Orders[[#This Row],[Discount%]])</f>
        <v>12600</v>
      </c>
      <c r="J363" t="str" cm="1">
        <f t="array" aca="1" ref="J363" ca="1">INDEX(PaymentMethods[Payment Method],RANDBETWEEN(1,5))</f>
        <v>Credit Card</v>
      </c>
    </row>
    <row r="364" spans="1:10" x14ac:dyDescent="0.3">
      <c r="A364" t="str">
        <f t="shared" si="17"/>
        <v>O0363</v>
      </c>
      <c r="B364" s="6">
        <f ca="1">Orders[[#This Row],[Discount%]]</f>
        <v>0.15</v>
      </c>
      <c r="C364" t="str" cm="1">
        <f t="array" aca="1" ref="C364" ca="1">INDEX(Customers[Customer ID],RANDBETWEEN(1,200))</f>
        <v>C189</v>
      </c>
      <c r="D364" t="str" cm="1">
        <f t="array" aca="1" ref="D364" ca="1">INDEX(Products[Product ID],RANDBETWEEN(1,50))</f>
        <v>P049</v>
      </c>
      <c r="E364" t="str" cm="1">
        <f t="array" aca="1" ref="E364" ca="1">INDEX(Warehouses[Warehouse ID],RANDBETWEEN(1,8))</f>
        <v>W004</v>
      </c>
      <c r="F364">
        <f t="shared" ca="1" si="15"/>
        <v>5</v>
      </c>
      <c r="G364">
        <f ca="1">_xlfn.XLOOKUP(Orders[[#This Row],[Product ID]],Products[Product ID],Products[Selling Price])</f>
        <v>3800</v>
      </c>
      <c r="H364" s="6">
        <f t="shared" ca="1" si="16"/>
        <v>0.15</v>
      </c>
      <c r="I364">
        <f ca="1">Orders[[#This Row],[Quantity]]*Orders[[#This Row],[Unit Price]]*(1-Orders[[#This Row],[Discount%]])</f>
        <v>16150</v>
      </c>
      <c r="J364" t="str" cm="1">
        <f t="array" aca="1" ref="J364" ca="1">INDEX(PaymentMethods[Payment Method],RANDBETWEEN(1,5))</f>
        <v>Cash</v>
      </c>
    </row>
    <row r="365" spans="1:10" x14ac:dyDescent="0.3">
      <c r="A365" t="str">
        <f t="shared" si="17"/>
        <v>O0364</v>
      </c>
      <c r="B365" s="6">
        <f ca="1">Orders[[#This Row],[Discount%]]</f>
        <v>0.02</v>
      </c>
      <c r="C365" t="str" cm="1">
        <f t="array" aca="1" ref="C365" ca="1">INDEX(Customers[Customer ID],RANDBETWEEN(1,200))</f>
        <v>C082</v>
      </c>
      <c r="D365" t="str" cm="1">
        <f t="array" aca="1" ref="D365" ca="1">INDEX(Products[Product ID],RANDBETWEEN(1,50))</f>
        <v>P041</v>
      </c>
      <c r="E365" t="str" cm="1">
        <f t="array" aca="1" ref="E365" ca="1">INDEX(Warehouses[Warehouse ID],RANDBETWEEN(1,8))</f>
        <v>W001</v>
      </c>
      <c r="F365">
        <f t="shared" ca="1" si="15"/>
        <v>2</v>
      </c>
      <c r="G365">
        <f ca="1">_xlfn.XLOOKUP(Orders[[#This Row],[Product ID]],Products[Product ID],Products[Selling Price])</f>
        <v>36000</v>
      </c>
      <c r="H365" s="6">
        <f t="shared" ca="1" si="16"/>
        <v>0.02</v>
      </c>
      <c r="I365">
        <f ca="1">Orders[[#This Row],[Quantity]]*Orders[[#This Row],[Unit Price]]*(1-Orders[[#This Row],[Discount%]])</f>
        <v>70560</v>
      </c>
      <c r="J365" t="str" cm="1">
        <f t="array" aca="1" ref="J365" ca="1">INDEX(PaymentMethods[Payment Method],RANDBETWEEN(1,5))</f>
        <v>Debit Card</v>
      </c>
    </row>
    <row r="366" spans="1:10" x14ac:dyDescent="0.3">
      <c r="A366" t="str">
        <f t="shared" si="17"/>
        <v>O0365</v>
      </c>
      <c r="B366" s="6">
        <f ca="1">Orders[[#This Row],[Discount%]]</f>
        <v>7.0000000000000007E-2</v>
      </c>
      <c r="C366" t="str" cm="1">
        <f t="array" aca="1" ref="C366" ca="1">INDEX(Customers[Customer ID],RANDBETWEEN(1,200))</f>
        <v>C035</v>
      </c>
      <c r="D366" t="str" cm="1">
        <f t="array" aca="1" ref="D366" ca="1">INDEX(Products[Product ID],RANDBETWEEN(1,50))</f>
        <v>P008</v>
      </c>
      <c r="E366" t="str" cm="1">
        <f t="array" aca="1" ref="E366" ca="1">INDEX(Warehouses[Warehouse ID],RANDBETWEEN(1,8))</f>
        <v>W007</v>
      </c>
      <c r="F366">
        <f t="shared" ca="1" si="15"/>
        <v>7</v>
      </c>
      <c r="G366">
        <f ca="1">_xlfn.XLOOKUP(Orders[[#This Row],[Product ID]],Products[Product ID],Products[Selling Price])</f>
        <v>4200</v>
      </c>
      <c r="H366" s="6">
        <f t="shared" ca="1" si="16"/>
        <v>7.0000000000000007E-2</v>
      </c>
      <c r="I366">
        <f ca="1">Orders[[#This Row],[Quantity]]*Orders[[#This Row],[Unit Price]]*(1-Orders[[#This Row],[Discount%]])</f>
        <v>27341.999999999996</v>
      </c>
      <c r="J366" t="str" cm="1">
        <f t="array" aca="1" ref="J366" ca="1">INDEX(PaymentMethods[Payment Method],RANDBETWEEN(1,5))</f>
        <v>UPI</v>
      </c>
    </row>
    <row r="367" spans="1:10" x14ac:dyDescent="0.3">
      <c r="A367" t="str">
        <f t="shared" si="17"/>
        <v>O0366</v>
      </c>
      <c r="B367" s="6">
        <f ca="1">Orders[[#This Row],[Discount%]]</f>
        <v>0.12</v>
      </c>
      <c r="C367" t="str" cm="1">
        <f t="array" aca="1" ref="C367" ca="1">INDEX(Customers[Customer ID],RANDBETWEEN(1,200))</f>
        <v>C161</v>
      </c>
      <c r="D367" t="str" cm="1">
        <f t="array" aca="1" ref="D367" ca="1">INDEX(Products[Product ID],RANDBETWEEN(1,50))</f>
        <v>P045</v>
      </c>
      <c r="E367" t="str" cm="1">
        <f t="array" aca="1" ref="E367" ca="1">INDEX(Warehouses[Warehouse ID],RANDBETWEEN(1,8))</f>
        <v>W003</v>
      </c>
      <c r="F367">
        <f t="shared" ca="1" si="15"/>
        <v>6</v>
      </c>
      <c r="G367">
        <f ca="1">_xlfn.XLOOKUP(Orders[[#This Row],[Product ID]],Products[Product ID],Products[Selling Price])</f>
        <v>1500</v>
      </c>
      <c r="H367" s="6">
        <f t="shared" ca="1" si="16"/>
        <v>0.12</v>
      </c>
      <c r="I367">
        <f ca="1">Orders[[#This Row],[Quantity]]*Orders[[#This Row],[Unit Price]]*(1-Orders[[#This Row],[Discount%]])</f>
        <v>7920</v>
      </c>
      <c r="J367" t="str" cm="1">
        <f t="array" aca="1" ref="J367" ca="1">INDEX(PaymentMethods[Payment Method],RANDBETWEEN(1,5))</f>
        <v>UPI</v>
      </c>
    </row>
    <row r="368" spans="1:10" x14ac:dyDescent="0.3">
      <c r="A368" t="str">
        <f t="shared" si="17"/>
        <v>O0367</v>
      </c>
      <c r="B368" s="6">
        <f ca="1">Orders[[#This Row],[Discount%]]</f>
        <v>7.0000000000000007E-2</v>
      </c>
      <c r="C368" t="str" cm="1">
        <f t="array" aca="1" ref="C368" ca="1">INDEX(Customers[Customer ID],RANDBETWEEN(1,200))</f>
        <v>C136</v>
      </c>
      <c r="D368" t="str" cm="1">
        <f t="array" aca="1" ref="D368" ca="1">INDEX(Products[Product ID],RANDBETWEEN(1,50))</f>
        <v>P045</v>
      </c>
      <c r="E368" t="str" cm="1">
        <f t="array" aca="1" ref="E368" ca="1">INDEX(Warehouses[Warehouse ID],RANDBETWEEN(1,8))</f>
        <v>W004</v>
      </c>
      <c r="F368">
        <f t="shared" ca="1" si="15"/>
        <v>7</v>
      </c>
      <c r="G368">
        <f ca="1">_xlfn.XLOOKUP(Orders[[#This Row],[Product ID]],Products[Product ID],Products[Selling Price])</f>
        <v>1500</v>
      </c>
      <c r="H368" s="6">
        <f t="shared" ca="1" si="16"/>
        <v>7.0000000000000007E-2</v>
      </c>
      <c r="I368">
        <f ca="1">Orders[[#This Row],[Quantity]]*Orders[[#This Row],[Unit Price]]*(1-Orders[[#This Row],[Discount%]])</f>
        <v>9765</v>
      </c>
      <c r="J368" t="str" cm="1">
        <f t="array" aca="1" ref="J368" ca="1">INDEX(PaymentMethods[Payment Method],RANDBETWEEN(1,5))</f>
        <v>Cash</v>
      </c>
    </row>
    <row r="369" spans="1:10" x14ac:dyDescent="0.3">
      <c r="A369" t="str">
        <f t="shared" si="17"/>
        <v>O0368</v>
      </c>
      <c r="B369" s="6">
        <f ca="1">Orders[[#This Row],[Discount%]]</f>
        <v>0.14000000000000001</v>
      </c>
      <c r="C369" t="str" cm="1">
        <f t="array" aca="1" ref="C369" ca="1">INDEX(Customers[Customer ID],RANDBETWEEN(1,200))</f>
        <v>C067</v>
      </c>
      <c r="D369" t="str" cm="1">
        <f t="array" aca="1" ref="D369" ca="1">INDEX(Products[Product ID],RANDBETWEEN(1,50))</f>
        <v>P008</v>
      </c>
      <c r="E369" t="str" cm="1">
        <f t="array" aca="1" ref="E369" ca="1">INDEX(Warehouses[Warehouse ID],RANDBETWEEN(1,8))</f>
        <v>W002</v>
      </c>
      <c r="F369">
        <f t="shared" ca="1" si="15"/>
        <v>4</v>
      </c>
      <c r="G369">
        <f ca="1">_xlfn.XLOOKUP(Orders[[#This Row],[Product ID]],Products[Product ID],Products[Selling Price])</f>
        <v>4200</v>
      </c>
      <c r="H369" s="6">
        <f t="shared" ca="1" si="16"/>
        <v>0.14000000000000001</v>
      </c>
      <c r="I369">
        <f ca="1">Orders[[#This Row],[Quantity]]*Orders[[#This Row],[Unit Price]]*(1-Orders[[#This Row],[Discount%]])</f>
        <v>14448</v>
      </c>
      <c r="J369" t="str" cm="1">
        <f t="array" aca="1" ref="J369" ca="1">INDEX(PaymentMethods[Payment Method],RANDBETWEEN(1,5))</f>
        <v>Credit Card</v>
      </c>
    </row>
    <row r="370" spans="1:10" x14ac:dyDescent="0.3">
      <c r="A370" t="str">
        <f t="shared" si="17"/>
        <v>O0369</v>
      </c>
      <c r="B370" s="6">
        <f ca="1">Orders[[#This Row],[Discount%]]</f>
        <v>0.02</v>
      </c>
      <c r="C370" t="str" cm="1">
        <f t="array" aca="1" ref="C370" ca="1">INDEX(Customers[Customer ID],RANDBETWEEN(1,200))</f>
        <v>C118</v>
      </c>
      <c r="D370" t="str" cm="1">
        <f t="array" aca="1" ref="D370" ca="1">INDEX(Products[Product ID],RANDBETWEEN(1,50))</f>
        <v>P026</v>
      </c>
      <c r="E370" t="str" cm="1">
        <f t="array" aca="1" ref="E370" ca="1">INDEX(Warehouses[Warehouse ID],RANDBETWEEN(1,8))</f>
        <v>W002</v>
      </c>
      <c r="F370">
        <f t="shared" ca="1" si="15"/>
        <v>7</v>
      </c>
      <c r="G370">
        <f ca="1">_xlfn.XLOOKUP(Orders[[#This Row],[Product ID]],Products[Product ID],Products[Selling Price])</f>
        <v>650</v>
      </c>
      <c r="H370" s="6">
        <f t="shared" ca="1" si="16"/>
        <v>0.02</v>
      </c>
      <c r="I370">
        <f ca="1">Orders[[#This Row],[Quantity]]*Orders[[#This Row],[Unit Price]]*(1-Orders[[#This Row],[Discount%]])</f>
        <v>4459</v>
      </c>
      <c r="J370" t="str" cm="1">
        <f t="array" aca="1" ref="J370" ca="1">INDEX(PaymentMethods[Payment Method],RANDBETWEEN(1,5))</f>
        <v>Net Banking</v>
      </c>
    </row>
    <row r="371" spans="1:10" x14ac:dyDescent="0.3">
      <c r="A371" t="str">
        <f t="shared" si="17"/>
        <v>O0370</v>
      </c>
      <c r="B371" s="6">
        <f ca="1">Orders[[#This Row],[Discount%]]</f>
        <v>0.08</v>
      </c>
      <c r="C371" t="str" cm="1">
        <f t="array" aca="1" ref="C371" ca="1">INDEX(Customers[Customer ID],RANDBETWEEN(1,200))</f>
        <v>C093</v>
      </c>
      <c r="D371" t="str" cm="1">
        <f t="array" aca="1" ref="D371" ca="1">INDEX(Products[Product ID],RANDBETWEEN(1,50))</f>
        <v>P005</v>
      </c>
      <c r="E371" t="str" cm="1">
        <f t="array" aca="1" ref="E371" ca="1">INDEX(Warehouses[Warehouse ID],RANDBETWEEN(1,8))</f>
        <v>W005</v>
      </c>
      <c r="F371">
        <f t="shared" ca="1" si="15"/>
        <v>2</v>
      </c>
      <c r="G371">
        <f ca="1">_xlfn.XLOOKUP(Orders[[#This Row],[Product ID]],Products[Product ID],Products[Selling Price])</f>
        <v>10500</v>
      </c>
      <c r="H371" s="6">
        <f t="shared" ca="1" si="16"/>
        <v>0.08</v>
      </c>
      <c r="I371">
        <f ca="1">Orders[[#This Row],[Quantity]]*Orders[[#This Row],[Unit Price]]*(1-Orders[[#This Row],[Discount%]])</f>
        <v>19320</v>
      </c>
      <c r="J371" t="str" cm="1">
        <f t="array" aca="1" ref="J371" ca="1">INDEX(PaymentMethods[Payment Method],RANDBETWEEN(1,5))</f>
        <v>Cash</v>
      </c>
    </row>
    <row r="372" spans="1:10" x14ac:dyDescent="0.3">
      <c r="A372" t="str">
        <f t="shared" si="17"/>
        <v>O0371</v>
      </c>
      <c r="B372" s="6">
        <f ca="1">Orders[[#This Row],[Discount%]]</f>
        <v>0.13</v>
      </c>
      <c r="C372" t="str" cm="1">
        <f t="array" aca="1" ref="C372" ca="1">INDEX(Customers[Customer ID],RANDBETWEEN(1,200))</f>
        <v>C026</v>
      </c>
      <c r="D372" t="str" cm="1">
        <f t="array" aca="1" ref="D372" ca="1">INDEX(Products[Product ID],RANDBETWEEN(1,50))</f>
        <v>P012</v>
      </c>
      <c r="E372" t="str" cm="1">
        <f t="array" aca="1" ref="E372" ca="1">INDEX(Warehouses[Warehouse ID],RANDBETWEEN(1,8))</f>
        <v>W007</v>
      </c>
      <c r="F372">
        <f t="shared" ca="1" si="15"/>
        <v>2</v>
      </c>
      <c r="G372">
        <f ca="1">_xlfn.XLOOKUP(Orders[[#This Row],[Product ID]],Products[Product ID],Products[Selling Price])</f>
        <v>80</v>
      </c>
      <c r="H372" s="6">
        <f t="shared" ca="1" si="16"/>
        <v>0.13</v>
      </c>
      <c r="I372">
        <f ca="1">Orders[[#This Row],[Quantity]]*Orders[[#This Row],[Unit Price]]*(1-Orders[[#This Row],[Discount%]])</f>
        <v>139.19999999999999</v>
      </c>
      <c r="J372" t="str" cm="1">
        <f t="array" aca="1" ref="J372" ca="1">INDEX(PaymentMethods[Payment Method],RANDBETWEEN(1,5))</f>
        <v>Credit Card</v>
      </c>
    </row>
    <row r="373" spans="1:10" x14ac:dyDescent="0.3">
      <c r="A373" t="str">
        <f t="shared" si="17"/>
        <v>O0372</v>
      </c>
      <c r="B373" s="6">
        <f ca="1">Orders[[#This Row],[Discount%]]</f>
        <v>0.08</v>
      </c>
      <c r="C373" t="str" cm="1">
        <f t="array" aca="1" ref="C373" ca="1">INDEX(Customers[Customer ID],RANDBETWEEN(1,200))</f>
        <v>C079</v>
      </c>
      <c r="D373" t="str" cm="1">
        <f t="array" aca="1" ref="D373" ca="1">INDEX(Products[Product ID],RANDBETWEEN(1,50))</f>
        <v>P024</v>
      </c>
      <c r="E373" t="str" cm="1">
        <f t="array" aca="1" ref="E373" ca="1">INDEX(Warehouses[Warehouse ID],RANDBETWEEN(1,8))</f>
        <v>W006</v>
      </c>
      <c r="F373">
        <f t="shared" ca="1" si="15"/>
        <v>2</v>
      </c>
      <c r="G373">
        <f ca="1">_xlfn.XLOOKUP(Orders[[#This Row],[Product ID]],Products[Product ID],Products[Selling Price])</f>
        <v>1700</v>
      </c>
      <c r="H373" s="6">
        <f t="shared" ca="1" si="16"/>
        <v>0.08</v>
      </c>
      <c r="I373">
        <f ca="1">Orders[[#This Row],[Quantity]]*Orders[[#This Row],[Unit Price]]*(1-Orders[[#This Row],[Discount%]])</f>
        <v>3128</v>
      </c>
      <c r="J373" t="str" cm="1">
        <f t="array" aca="1" ref="J373" ca="1">INDEX(PaymentMethods[Payment Method],RANDBETWEEN(1,5))</f>
        <v>Credit Card</v>
      </c>
    </row>
    <row r="374" spans="1:10" x14ac:dyDescent="0.3">
      <c r="A374" t="str">
        <f t="shared" si="17"/>
        <v>O0373</v>
      </c>
      <c r="B374" s="6">
        <f ca="1">Orders[[#This Row],[Discount%]]</f>
        <v>0.11</v>
      </c>
      <c r="C374" t="str" cm="1">
        <f t="array" aca="1" ref="C374" ca="1">INDEX(Customers[Customer ID],RANDBETWEEN(1,200))</f>
        <v>C192</v>
      </c>
      <c r="D374" t="str" cm="1">
        <f t="array" aca="1" ref="D374" ca="1">INDEX(Products[Product ID],RANDBETWEEN(1,50))</f>
        <v>P017</v>
      </c>
      <c r="E374" t="str" cm="1">
        <f t="array" aca="1" ref="E374" ca="1">INDEX(Warehouses[Warehouse ID],RANDBETWEEN(1,8))</f>
        <v>W003</v>
      </c>
      <c r="F374">
        <f t="shared" ca="1" si="15"/>
        <v>1</v>
      </c>
      <c r="G374">
        <f ca="1">_xlfn.XLOOKUP(Orders[[#This Row],[Product ID]],Products[Product ID],Products[Selling Price])</f>
        <v>650</v>
      </c>
      <c r="H374" s="6">
        <f t="shared" ca="1" si="16"/>
        <v>0.11</v>
      </c>
      <c r="I374">
        <f ca="1">Orders[[#This Row],[Quantity]]*Orders[[#This Row],[Unit Price]]*(1-Orders[[#This Row],[Discount%]])</f>
        <v>578.5</v>
      </c>
      <c r="J374" t="str" cm="1">
        <f t="array" aca="1" ref="J374" ca="1">INDEX(PaymentMethods[Payment Method],RANDBETWEEN(1,5))</f>
        <v>Debit Card</v>
      </c>
    </row>
    <row r="375" spans="1:10" x14ac:dyDescent="0.3">
      <c r="A375" t="str">
        <f t="shared" si="17"/>
        <v>O0374</v>
      </c>
      <c r="B375" s="6">
        <f ca="1">Orders[[#This Row],[Discount%]]</f>
        <v>0.15</v>
      </c>
      <c r="C375" t="str" cm="1">
        <f t="array" aca="1" ref="C375" ca="1">INDEX(Customers[Customer ID],RANDBETWEEN(1,200))</f>
        <v>C153</v>
      </c>
      <c r="D375" t="str" cm="1">
        <f t="array" aca="1" ref="D375" ca="1">INDEX(Products[Product ID],RANDBETWEEN(1,50))</f>
        <v>P048</v>
      </c>
      <c r="E375" t="str" cm="1">
        <f t="array" aca="1" ref="E375" ca="1">INDEX(Warehouses[Warehouse ID],RANDBETWEEN(1,8))</f>
        <v>W006</v>
      </c>
      <c r="F375">
        <f t="shared" ca="1" si="15"/>
        <v>10</v>
      </c>
      <c r="G375">
        <f ca="1">_xlfn.XLOOKUP(Orders[[#This Row],[Product ID]],Products[Product ID],Products[Selling Price])</f>
        <v>1200</v>
      </c>
      <c r="H375" s="6">
        <f t="shared" ca="1" si="16"/>
        <v>0.15</v>
      </c>
      <c r="I375">
        <f ca="1">Orders[[#This Row],[Quantity]]*Orders[[#This Row],[Unit Price]]*(1-Orders[[#This Row],[Discount%]])</f>
        <v>10200</v>
      </c>
      <c r="J375" t="str" cm="1">
        <f t="array" aca="1" ref="J375" ca="1">INDEX(PaymentMethods[Payment Method],RANDBETWEEN(1,5))</f>
        <v>Credit Card</v>
      </c>
    </row>
    <row r="376" spans="1:10" x14ac:dyDescent="0.3">
      <c r="A376" t="str">
        <f t="shared" si="17"/>
        <v>O0375</v>
      </c>
      <c r="B376" s="6">
        <f ca="1">Orders[[#This Row],[Discount%]]</f>
        <v>0.16</v>
      </c>
      <c r="C376" t="str" cm="1">
        <f t="array" aca="1" ref="C376" ca="1">INDEX(Customers[Customer ID],RANDBETWEEN(1,200))</f>
        <v>C162</v>
      </c>
      <c r="D376" t="str" cm="1">
        <f t="array" aca="1" ref="D376" ca="1">INDEX(Products[Product ID],RANDBETWEEN(1,50))</f>
        <v>P049</v>
      </c>
      <c r="E376" t="str" cm="1">
        <f t="array" aca="1" ref="E376" ca="1">INDEX(Warehouses[Warehouse ID],RANDBETWEEN(1,8))</f>
        <v>W007</v>
      </c>
      <c r="F376">
        <f t="shared" ca="1" si="15"/>
        <v>8</v>
      </c>
      <c r="G376">
        <f ca="1">_xlfn.XLOOKUP(Orders[[#This Row],[Product ID]],Products[Product ID],Products[Selling Price])</f>
        <v>3800</v>
      </c>
      <c r="H376" s="6">
        <f t="shared" ca="1" si="16"/>
        <v>0.16</v>
      </c>
      <c r="I376">
        <f ca="1">Orders[[#This Row],[Quantity]]*Orders[[#This Row],[Unit Price]]*(1-Orders[[#This Row],[Discount%]])</f>
        <v>25536</v>
      </c>
      <c r="J376" t="str" cm="1">
        <f t="array" aca="1" ref="J376" ca="1">INDEX(PaymentMethods[Payment Method],RANDBETWEEN(1,5))</f>
        <v>Credit Card</v>
      </c>
    </row>
    <row r="377" spans="1:10" x14ac:dyDescent="0.3">
      <c r="A377" t="str">
        <f t="shared" si="17"/>
        <v>O0376</v>
      </c>
      <c r="B377" s="6">
        <f ca="1">Orders[[#This Row],[Discount%]]</f>
        <v>0.03</v>
      </c>
      <c r="C377" t="str" cm="1">
        <f t="array" aca="1" ref="C377" ca="1">INDEX(Customers[Customer ID],RANDBETWEEN(1,200))</f>
        <v>C051</v>
      </c>
      <c r="D377" t="str" cm="1">
        <f t="array" aca="1" ref="D377" ca="1">INDEX(Products[Product ID],RANDBETWEEN(1,50))</f>
        <v>P029</v>
      </c>
      <c r="E377" t="str" cm="1">
        <f t="array" aca="1" ref="E377" ca="1">INDEX(Warehouses[Warehouse ID],RANDBETWEEN(1,8))</f>
        <v>W007</v>
      </c>
      <c r="F377">
        <f t="shared" ca="1" si="15"/>
        <v>8</v>
      </c>
      <c r="G377">
        <f ca="1">_xlfn.XLOOKUP(Orders[[#This Row],[Product ID]],Products[Product ID],Products[Selling Price])</f>
        <v>3200</v>
      </c>
      <c r="H377" s="6">
        <f t="shared" ca="1" si="16"/>
        <v>0.03</v>
      </c>
      <c r="I377">
        <f ca="1">Orders[[#This Row],[Quantity]]*Orders[[#This Row],[Unit Price]]*(1-Orders[[#This Row],[Discount%]])</f>
        <v>24832</v>
      </c>
      <c r="J377" t="str" cm="1">
        <f t="array" aca="1" ref="J377" ca="1">INDEX(PaymentMethods[Payment Method],RANDBETWEEN(1,5))</f>
        <v>Cash</v>
      </c>
    </row>
    <row r="378" spans="1:10" x14ac:dyDescent="0.3">
      <c r="A378" t="str">
        <f t="shared" si="17"/>
        <v>O0377</v>
      </c>
      <c r="B378" s="6">
        <f ca="1">Orders[[#This Row],[Discount%]]</f>
        <v>0.03</v>
      </c>
      <c r="C378" t="str" cm="1">
        <f t="array" aca="1" ref="C378" ca="1">INDEX(Customers[Customer ID],RANDBETWEEN(1,200))</f>
        <v>C019</v>
      </c>
      <c r="D378" t="str" cm="1">
        <f t="array" aca="1" ref="D378" ca="1">INDEX(Products[Product ID],RANDBETWEEN(1,50))</f>
        <v>P032</v>
      </c>
      <c r="E378" t="str" cm="1">
        <f t="array" aca="1" ref="E378" ca="1">INDEX(Warehouses[Warehouse ID],RANDBETWEEN(1,8))</f>
        <v>W003</v>
      </c>
      <c r="F378">
        <f t="shared" ca="1" si="15"/>
        <v>4</v>
      </c>
      <c r="G378">
        <f ca="1">_xlfn.XLOOKUP(Orders[[#This Row],[Product ID]],Products[Product ID],Products[Selling Price])</f>
        <v>220</v>
      </c>
      <c r="H378" s="6">
        <f t="shared" ca="1" si="16"/>
        <v>0.03</v>
      </c>
      <c r="I378">
        <f ca="1">Orders[[#This Row],[Quantity]]*Orders[[#This Row],[Unit Price]]*(1-Orders[[#This Row],[Discount%]])</f>
        <v>853.6</v>
      </c>
      <c r="J378" t="str" cm="1">
        <f t="array" aca="1" ref="J378" ca="1">INDEX(PaymentMethods[Payment Method],RANDBETWEEN(1,5))</f>
        <v>Debit Card</v>
      </c>
    </row>
    <row r="379" spans="1:10" x14ac:dyDescent="0.3">
      <c r="A379" t="str">
        <f t="shared" si="17"/>
        <v>O0378</v>
      </c>
      <c r="B379" s="6">
        <f ca="1">Orders[[#This Row],[Discount%]]</f>
        <v>0.02</v>
      </c>
      <c r="C379" t="str" cm="1">
        <f t="array" aca="1" ref="C379" ca="1">INDEX(Customers[Customer ID],RANDBETWEEN(1,200))</f>
        <v>C120</v>
      </c>
      <c r="D379" t="str" cm="1">
        <f t="array" aca="1" ref="D379" ca="1">INDEX(Products[Product ID],RANDBETWEEN(1,50))</f>
        <v>P025</v>
      </c>
      <c r="E379" t="str" cm="1">
        <f t="array" aca="1" ref="E379" ca="1">INDEX(Warehouses[Warehouse ID],RANDBETWEEN(1,8))</f>
        <v>W002</v>
      </c>
      <c r="F379">
        <f t="shared" ca="1" si="15"/>
        <v>3</v>
      </c>
      <c r="G379">
        <f ca="1">_xlfn.XLOOKUP(Orders[[#This Row],[Product ID]],Products[Product ID],Products[Selling Price])</f>
        <v>1800</v>
      </c>
      <c r="H379" s="6">
        <f t="shared" ca="1" si="16"/>
        <v>0.02</v>
      </c>
      <c r="I379">
        <f ca="1">Orders[[#This Row],[Quantity]]*Orders[[#This Row],[Unit Price]]*(1-Orders[[#This Row],[Discount%]])</f>
        <v>5292</v>
      </c>
      <c r="J379" t="str" cm="1">
        <f t="array" aca="1" ref="J379" ca="1">INDEX(PaymentMethods[Payment Method],RANDBETWEEN(1,5))</f>
        <v>UPI</v>
      </c>
    </row>
    <row r="380" spans="1:10" x14ac:dyDescent="0.3">
      <c r="A380" t="str">
        <f t="shared" si="17"/>
        <v>O0379</v>
      </c>
      <c r="B380" s="6">
        <f ca="1">Orders[[#This Row],[Discount%]]</f>
        <v>0.19</v>
      </c>
      <c r="C380" t="str" cm="1">
        <f t="array" aca="1" ref="C380" ca="1">INDEX(Customers[Customer ID],RANDBETWEEN(1,200))</f>
        <v>C149</v>
      </c>
      <c r="D380" t="str" cm="1">
        <f t="array" aca="1" ref="D380" ca="1">INDEX(Products[Product ID],RANDBETWEEN(1,50))</f>
        <v>P007</v>
      </c>
      <c r="E380" t="str" cm="1">
        <f t="array" aca="1" ref="E380" ca="1">INDEX(Warehouses[Warehouse ID],RANDBETWEEN(1,8))</f>
        <v>W007</v>
      </c>
      <c r="F380">
        <f t="shared" ca="1" si="15"/>
        <v>6</v>
      </c>
      <c r="G380">
        <f ca="1">_xlfn.XLOOKUP(Orders[[#This Row],[Product ID]],Products[Product ID],Products[Selling Price])</f>
        <v>6000</v>
      </c>
      <c r="H380" s="6">
        <f t="shared" ca="1" si="16"/>
        <v>0.19</v>
      </c>
      <c r="I380">
        <f ca="1">Orders[[#This Row],[Quantity]]*Orders[[#This Row],[Unit Price]]*(1-Orders[[#This Row],[Discount%]])</f>
        <v>29160.000000000004</v>
      </c>
      <c r="J380" t="str" cm="1">
        <f t="array" aca="1" ref="J380" ca="1">INDEX(PaymentMethods[Payment Method],RANDBETWEEN(1,5))</f>
        <v>Net Banking</v>
      </c>
    </row>
    <row r="381" spans="1:10" x14ac:dyDescent="0.3">
      <c r="A381" t="str">
        <f t="shared" si="17"/>
        <v>O0380</v>
      </c>
      <c r="B381" s="6">
        <f ca="1">Orders[[#This Row],[Discount%]]</f>
        <v>0.13</v>
      </c>
      <c r="C381" t="str" cm="1">
        <f t="array" aca="1" ref="C381" ca="1">INDEX(Customers[Customer ID],RANDBETWEEN(1,200))</f>
        <v>C169</v>
      </c>
      <c r="D381" t="str" cm="1">
        <f t="array" aca="1" ref="D381" ca="1">INDEX(Products[Product ID],RANDBETWEEN(1,50))</f>
        <v>P010</v>
      </c>
      <c r="E381" t="str" cm="1">
        <f t="array" aca="1" ref="E381" ca="1">INDEX(Warehouses[Warehouse ID],RANDBETWEEN(1,8))</f>
        <v>W001</v>
      </c>
      <c r="F381">
        <f t="shared" ca="1" si="15"/>
        <v>3</v>
      </c>
      <c r="G381">
        <f ca="1">_xlfn.XLOOKUP(Orders[[#This Row],[Product ID]],Products[Product ID],Products[Selling Price])</f>
        <v>250</v>
      </c>
      <c r="H381" s="6">
        <f t="shared" ca="1" si="16"/>
        <v>0.13</v>
      </c>
      <c r="I381">
        <f ca="1">Orders[[#This Row],[Quantity]]*Orders[[#This Row],[Unit Price]]*(1-Orders[[#This Row],[Discount%]])</f>
        <v>652.5</v>
      </c>
      <c r="J381" t="str" cm="1">
        <f t="array" aca="1" ref="J381" ca="1">INDEX(PaymentMethods[Payment Method],RANDBETWEEN(1,5))</f>
        <v>Cash</v>
      </c>
    </row>
    <row r="382" spans="1:10" x14ac:dyDescent="0.3">
      <c r="A382" t="str">
        <f t="shared" si="17"/>
        <v>O0381</v>
      </c>
      <c r="B382" s="6">
        <f ca="1">Orders[[#This Row],[Discount%]]</f>
        <v>0.05</v>
      </c>
      <c r="C382" t="str" cm="1">
        <f t="array" aca="1" ref="C382" ca="1">INDEX(Customers[Customer ID],RANDBETWEEN(1,200))</f>
        <v>C012</v>
      </c>
      <c r="D382" t="str" cm="1">
        <f t="array" aca="1" ref="D382" ca="1">INDEX(Products[Product ID],RANDBETWEEN(1,50))</f>
        <v>P048</v>
      </c>
      <c r="E382" t="str" cm="1">
        <f t="array" aca="1" ref="E382" ca="1">INDEX(Warehouses[Warehouse ID],RANDBETWEEN(1,8))</f>
        <v>W005</v>
      </c>
      <c r="F382">
        <f t="shared" ca="1" si="15"/>
        <v>7</v>
      </c>
      <c r="G382">
        <f ca="1">_xlfn.XLOOKUP(Orders[[#This Row],[Product ID]],Products[Product ID],Products[Selling Price])</f>
        <v>1200</v>
      </c>
      <c r="H382" s="6">
        <f t="shared" ca="1" si="16"/>
        <v>0.05</v>
      </c>
      <c r="I382">
        <f ca="1">Orders[[#This Row],[Quantity]]*Orders[[#This Row],[Unit Price]]*(1-Orders[[#This Row],[Discount%]])</f>
        <v>7980</v>
      </c>
      <c r="J382" t="str" cm="1">
        <f t="array" aca="1" ref="J382" ca="1">INDEX(PaymentMethods[Payment Method],RANDBETWEEN(1,5))</f>
        <v>UPI</v>
      </c>
    </row>
    <row r="383" spans="1:10" x14ac:dyDescent="0.3">
      <c r="A383" t="str">
        <f t="shared" si="17"/>
        <v>O0382</v>
      </c>
      <c r="B383" s="6">
        <f ca="1">Orders[[#This Row],[Discount%]]</f>
        <v>0.04</v>
      </c>
      <c r="C383" t="str" cm="1">
        <f t="array" aca="1" ref="C383" ca="1">INDEX(Customers[Customer ID],RANDBETWEEN(1,200))</f>
        <v>C100</v>
      </c>
      <c r="D383" t="str" cm="1">
        <f t="array" aca="1" ref="D383" ca="1">INDEX(Products[Product ID],RANDBETWEEN(1,50))</f>
        <v>P002</v>
      </c>
      <c r="E383" t="str" cm="1">
        <f t="array" aca="1" ref="E383" ca="1">INDEX(Warehouses[Warehouse ID],RANDBETWEEN(1,8))</f>
        <v>W007</v>
      </c>
      <c r="F383">
        <f t="shared" ca="1" si="15"/>
        <v>6</v>
      </c>
      <c r="G383">
        <f ca="1">_xlfn.XLOOKUP(Orders[[#This Row],[Product ID]],Products[Product ID],Products[Selling Price])</f>
        <v>550</v>
      </c>
      <c r="H383" s="6">
        <f t="shared" ca="1" si="16"/>
        <v>0.04</v>
      </c>
      <c r="I383">
        <f ca="1">Orders[[#This Row],[Quantity]]*Orders[[#This Row],[Unit Price]]*(1-Orders[[#This Row],[Discount%]])</f>
        <v>3168</v>
      </c>
      <c r="J383" t="str" cm="1">
        <f t="array" aca="1" ref="J383" ca="1">INDEX(PaymentMethods[Payment Method],RANDBETWEEN(1,5))</f>
        <v>Cash</v>
      </c>
    </row>
    <row r="384" spans="1:10" x14ac:dyDescent="0.3">
      <c r="A384" t="str">
        <f t="shared" si="17"/>
        <v>O0383</v>
      </c>
      <c r="B384" s="6">
        <f ca="1">Orders[[#This Row],[Discount%]]</f>
        <v>0.14000000000000001</v>
      </c>
      <c r="C384" t="str" cm="1">
        <f t="array" aca="1" ref="C384" ca="1">INDEX(Customers[Customer ID],RANDBETWEEN(1,200))</f>
        <v>C200</v>
      </c>
      <c r="D384" t="str" cm="1">
        <f t="array" aca="1" ref="D384" ca="1">INDEX(Products[Product ID],RANDBETWEEN(1,50))</f>
        <v>P039</v>
      </c>
      <c r="E384" t="str" cm="1">
        <f t="array" aca="1" ref="E384" ca="1">INDEX(Warehouses[Warehouse ID],RANDBETWEEN(1,8))</f>
        <v>W008</v>
      </c>
      <c r="F384">
        <f t="shared" ca="1" si="15"/>
        <v>8</v>
      </c>
      <c r="G384">
        <f ca="1">_xlfn.XLOOKUP(Orders[[#This Row],[Product ID]],Products[Product ID],Products[Selling Price])</f>
        <v>250</v>
      </c>
      <c r="H384" s="6">
        <f t="shared" ca="1" si="16"/>
        <v>0.14000000000000001</v>
      </c>
      <c r="I384">
        <f ca="1">Orders[[#This Row],[Quantity]]*Orders[[#This Row],[Unit Price]]*(1-Orders[[#This Row],[Discount%]])</f>
        <v>1720</v>
      </c>
      <c r="J384" t="str" cm="1">
        <f t="array" aca="1" ref="J384" ca="1">INDEX(PaymentMethods[Payment Method],RANDBETWEEN(1,5))</f>
        <v>UPI</v>
      </c>
    </row>
    <row r="385" spans="1:10" x14ac:dyDescent="0.3">
      <c r="A385" t="str">
        <f t="shared" si="17"/>
        <v>O0384</v>
      </c>
      <c r="B385" s="6">
        <f ca="1">Orders[[#This Row],[Discount%]]</f>
        <v>0.03</v>
      </c>
      <c r="C385" t="str" cm="1">
        <f t="array" aca="1" ref="C385" ca="1">INDEX(Customers[Customer ID],RANDBETWEEN(1,200))</f>
        <v>C022</v>
      </c>
      <c r="D385" t="str" cm="1">
        <f t="array" aca="1" ref="D385" ca="1">INDEX(Products[Product ID],RANDBETWEEN(1,50))</f>
        <v>P012</v>
      </c>
      <c r="E385" t="str" cm="1">
        <f t="array" aca="1" ref="E385" ca="1">INDEX(Warehouses[Warehouse ID],RANDBETWEEN(1,8))</f>
        <v>W001</v>
      </c>
      <c r="F385">
        <f t="shared" ca="1" si="15"/>
        <v>3</v>
      </c>
      <c r="G385">
        <f ca="1">_xlfn.XLOOKUP(Orders[[#This Row],[Product ID]],Products[Product ID],Products[Selling Price])</f>
        <v>80</v>
      </c>
      <c r="H385" s="6">
        <f t="shared" ca="1" si="16"/>
        <v>0.03</v>
      </c>
      <c r="I385">
        <f ca="1">Orders[[#This Row],[Quantity]]*Orders[[#This Row],[Unit Price]]*(1-Orders[[#This Row],[Discount%]])</f>
        <v>232.79999999999998</v>
      </c>
      <c r="J385" t="str" cm="1">
        <f t="array" aca="1" ref="J385" ca="1">INDEX(PaymentMethods[Payment Method],RANDBETWEEN(1,5))</f>
        <v>Debit Card</v>
      </c>
    </row>
    <row r="386" spans="1:10" x14ac:dyDescent="0.3">
      <c r="A386" t="str">
        <f t="shared" si="17"/>
        <v>O0385</v>
      </c>
      <c r="B386" s="6">
        <f ca="1">Orders[[#This Row],[Discount%]]</f>
        <v>0.06</v>
      </c>
      <c r="C386" t="str" cm="1">
        <f t="array" aca="1" ref="C386" ca="1">INDEX(Customers[Customer ID],RANDBETWEEN(1,200))</f>
        <v>C172</v>
      </c>
      <c r="D386" t="str" cm="1">
        <f t="array" aca="1" ref="D386" ca="1">INDEX(Products[Product ID],RANDBETWEEN(1,50))</f>
        <v>P022</v>
      </c>
      <c r="E386" t="str" cm="1">
        <f t="array" aca="1" ref="E386" ca="1">INDEX(Warehouses[Warehouse ID],RANDBETWEEN(1,8))</f>
        <v>W004</v>
      </c>
      <c r="F386">
        <f t="shared" ref="F386:F449" ca="1" si="18">RANDBETWEEN(1,10)</f>
        <v>8</v>
      </c>
      <c r="G386">
        <f ca="1">_xlfn.XLOOKUP(Orders[[#This Row],[Product ID]],Products[Product ID],Products[Selling Price])</f>
        <v>5000</v>
      </c>
      <c r="H386" s="6">
        <f t="shared" ref="H386:H449" ca="1" si="19">RANDBETWEEN(0,20)/100</f>
        <v>0.06</v>
      </c>
      <c r="I386">
        <f ca="1">Orders[[#This Row],[Quantity]]*Orders[[#This Row],[Unit Price]]*(1-Orders[[#This Row],[Discount%]])</f>
        <v>37600</v>
      </c>
      <c r="J386" t="str" cm="1">
        <f t="array" aca="1" ref="J386" ca="1">INDEX(PaymentMethods[Payment Method],RANDBETWEEN(1,5))</f>
        <v>Debit Card</v>
      </c>
    </row>
    <row r="387" spans="1:10" x14ac:dyDescent="0.3">
      <c r="A387" t="str">
        <f t="shared" ref="A387:A450" si="20">"O"&amp;TEXT(ROW()-1,"0000")</f>
        <v>O0386</v>
      </c>
      <c r="B387" s="6">
        <f ca="1">Orders[[#This Row],[Discount%]]</f>
        <v>0.05</v>
      </c>
      <c r="C387" t="str" cm="1">
        <f t="array" aca="1" ref="C387" ca="1">INDEX(Customers[Customer ID],RANDBETWEEN(1,200))</f>
        <v>C143</v>
      </c>
      <c r="D387" t="str" cm="1">
        <f t="array" aca="1" ref="D387" ca="1">INDEX(Products[Product ID],RANDBETWEEN(1,50))</f>
        <v>P015</v>
      </c>
      <c r="E387" t="str" cm="1">
        <f t="array" aca="1" ref="E387" ca="1">INDEX(Warehouses[Warehouse ID],RANDBETWEEN(1,8))</f>
        <v>W007</v>
      </c>
      <c r="F387">
        <f t="shared" ca="1" si="18"/>
        <v>4</v>
      </c>
      <c r="G387">
        <f ca="1">_xlfn.XLOOKUP(Orders[[#This Row],[Product ID]],Products[Product ID],Products[Selling Price])</f>
        <v>1800</v>
      </c>
      <c r="H387" s="6">
        <f t="shared" ca="1" si="19"/>
        <v>0.05</v>
      </c>
      <c r="I387">
        <f ca="1">Orders[[#This Row],[Quantity]]*Orders[[#This Row],[Unit Price]]*(1-Orders[[#This Row],[Discount%]])</f>
        <v>6840</v>
      </c>
      <c r="J387" t="str" cm="1">
        <f t="array" aca="1" ref="J387" ca="1">INDEX(PaymentMethods[Payment Method],RANDBETWEEN(1,5))</f>
        <v>Net Banking</v>
      </c>
    </row>
    <row r="388" spans="1:10" x14ac:dyDescent="0.3">
      <c r="A388" t="str">
        <f t="shared" si="20"/>
        <v>O0387</v>
      </c>
      <c r="B388" s="6">
        <f ca="1">Orders[[#This Row],[Discount%]]</f>
        <v>7.0000000000000007E-2</v>
      </c>
      <c r="C388" t="str" cm="1">
        <f t="array" aca="1" ref="C388" ca="1">INDEX(Customers[Customer ID],RANDBETWEEN(1,200))</f>
        <v>C177</v>
      </c>
      <c r="D388" t="str" cm="1">
        <f t="array" aca="1" ref="D388" ca="1">INDEX(Products[Product ID],RANDBETWEEN(1,50))</f>
        <v>P024</v>
      </c>
      <c r="E388" t="str" cm="1">
        <f t="array" aca="1" ref="E388" ca="1">INDEX(Warehouses[Warehouse ID],RANDBETWEEN(1,8))</f>
        <v>W004</v>
      </c>
      <c r="F388">
        <f t="shared" ca="1" si="18"/>
        <v>3</v>
      </c>
      <c r="G388">
        <f ca="1">_xlfn.XLOOKUP(Orders[[#This Row],[Product ID]],Products[Product ID],Products[Selling Price])</f>
        <v>1700</v>
      </c>
      <c r="H388" s="6">
        <f t="shared" ca="1" si="19"/>
        <v>7.0000000000000007E-2</v>
      </c>
      <c r="I388">
        <f ca="1">Orders[[#This Row],[Quantity]]*Orders[[#This Row],[Unit Price]]*(1-Orders[[#This Row],[Discount%]])</f>
        <v>4743</v>
      </c>
      <c r="J388" t="str" cm="1">
        <f t="array" aca="1" ref="J388" ca="1">INDEX(PaymentMethods[Payment Method],RANDBETWEEN(1,5))</f>
        <v>Debit Card</v>
      </c>
    </row>
    <row r="389" spans="1:10" x14ac:dyDescent="0.3">
      <c r="A389" t="str">
        <f t="shared" si="20"/>
        <v>O0388</v>
      </c>
      <c r="B389" s="6">
        <f ca="1">Orders[[#This Row],[Discount%]]</f>
        <v>0.08</v>
      </c>
      <c r="C389" t="str" cm="1">
        <f t="array" aca="1" ref="C389" ca="1">INDEX(Customers[Customer ID],RANDBETWEEN(1,200))</f>
        <v>C056</v>
      </c>
      <c r="D389" t="str" cm="1">
        <f t="array" aca="1" ref="D389" ca="1">INDEX(Products[Product ID],RANDBETWEEN(1,50))</f>
        <v>P023</v>
      </c>
      <c r="E389" t="str" cm="1">
        <f t="array" aca="1" ref="E389" ca="1">INDEX(Warehouses[Warehouse ID],RANDBETWEEN(1,8))</f>
        <v>W007</v>
      </c>
      <c r="F389">
        <f t="shared" ca="1" si="18"/>
        <v>10</v>
      </c>
      <c r="G389">
        <f ca="1">_xlfn.XLOOKUP(Orders[[#This Row],[Product ID]],Products[Product ID],Products[Selling Price])</f>
        <v>2300</v>
      </c>
      <c r="H389" s="6">
        <f t="shared" ca="1" si="19"/>
        <v>0.08</v>
      </c>
      <c r="I389">
        <f ca="1">Orders[[#This Row],[Quantity]]*Orders[[#This Row],[Unit Price]]*(1-Orders[[#This Row],[Discount%]])</f>
        <v>21160</v>
      </c>
      <c r="J389" t="str" cm="1">
        <f t="array" aca="1" ref="J389" ca="1">INDEX(PaymentMethods[Payment Method],RANDBETWEEN(1,5))</f>
        <v>UPI</v>
      </c>
    </row>
    <row r="390" spans="1:10" x14ac:dyDescent="0.3">
      <c r="A390" t="str">
        <f t="shared" si="20"/>
        <v>O0389</v>
      </c>
      <c r="B390" s="6">
        <f ca="1">Orders[[#This Row],[Discount%]]</f>
        <v>0.15</v>
      </c>
      <c r="C390" t="str" cm="1">
        <f t="array" aca="1" ref="C390" ca="1">INDEX(Customers[Customer ID],RANDBETWEEN(1,200))</f>
        <v>C050</v>
      </c>
      <c r="D390" t="str" cm="1">
        <f t="array" aca="1" ref="D390" ca="1">INDEX(Products[Product ID],RANDBETWEEN(1,50))</f>
        <v>P015</v>
      </c>
      <c r="E390" t="str" cm="1">
        <f t="array" aca="1" ref="E390" ca="1">INDEX(Warehouses[Warehouse ID],RANDBETWEEN(1,8))</f>
        <v>W007</v>
      </c>
      <c r="F390">
        <f t="shared" ca="1" si="18"/>
        <v>4</v>
      </c>
      <c r="G390">
        <f ca="1">_xlfn.XLOOKUP(Orders[[#This Row],[Product ID]],Products[Product ID],Products[Selling Price])</f>
        <v>1800</v>
      </c>
      <c r="H390" s="6">
        <f t="shared" ca="1" si="19"/>
        <v>0.15</v>
      </c>
      <c r="I390">
        <f ca="1">Orders[[#This Row],[Quantity]]*Orders[[#This Row],[Unit Price]]*(1-Orders[[#This Row],[Discount%]])</f>
        <v>6120</v>
      </c>
      <c r="J390" t="str" cm="1">
        <f t="array" aca="1" ref="J390" ca="1">INDEX(PaymentMethods[Payment Method],RANDBETWEEN(1,5))</f>
        <v>Net Banking</v>
      </c>
    </row>
    <row r="391" spans="1:10" x14ac:dyDescent="0.3">
      <c r="A391" t="str">
        <f t="shared" si="20"/>
        <v>O0390</v>
      </c>
      <c r="B391" s="6">
        <f ca="1">Orders[[#This Row],[Discount%]]</f>
        <v>0.04</v>
      </c>
      <c r="C391" t="str" cm="1">
        <f t="array" aca="1" ref="C391" ca="1">INDEX(Customers[Customer ID],RANDBETWEEN(1,200))</f>
        <v>C052</v>
      </c>
      <c r="D391" t="str" cm="1">
        <f t="array" aca="1" ref="D391" ca="1">INDEX(Products[Product ID],RANDBETWEEN(1,50))</f>
        <v>P018</v>
      </c>
      <c r="E391" t="str" cm="1">
        <f t="array" aca="1" ref="E391" ca="1">INDEX(Warehouses[Warehouse ID],RANDBETWEEN(1,8))</f>
        <v>W003</v>
      </c>
      <c r="F391">
        <f t="shared" ca="1" si="18"/>
        <v>8</v>
      </c>
      <c r="G391">
        <f ca="1">_xlfn.XLOOKUP(Orders[[#This Row],[Product ID]],Products[Product ID],Products[Selling Price])</f>
        <v>1500</v>
      </c>
      <c r="H391" s="6">
        <f t="shared" ca="1" si="19"/>
        <v>0.04</v>
      </c>
      <c r="I391">
        <f ca="1">Orders[[#This Row],[Quantity]]*Orders[[#This Row],[Unit Price]]*(1-Orders[[#This Row],[Discount%]])</f>
        <v>11520</v>
      </c>
      <c r="J391" t="str" cm="1">
        <f t="array" aca="1" ref="J391" ca="1">INDEX(PaymentMethods[Payment Method],RANDBETWEEN(1,5))</f>
        <v>Debit Card</v>
      </c>
    </row>
    <row r="392" spans="1:10" x14ac:dyDescent="0.3">
      <c r="A392" t="str">
        <f t="shared" si="20"/>
        <v>O0391</v>
      </c>
      <c r="B392" s="6">
        <f ca="1">Orders[[#This Row],[Discount%]]</f>
        <v>0.05</v>
      </c>
      <c r="C392" t="str" cm="1">
        <f t="array" aca="1" ref="C392" ca="1">INDEX(Customers[Customer ID],RANDBETWEEN(1,200))</f>
        <v>C136</v>
      </c>
      <c r="D392" t="str" cm="1">
        <f t="array" aca="1" ref="D392" ca="1">INDEX(Products[Product ID],RANDBETWEEN(1,50))</f>
        <v>P024</v>
      </c>
      <c r="E392" t="str" cm="1">
        <f t="array" aca="1" ref="E392" ca="1">INDEX(Warehouses[Warehouse ID],RANDBETWEEN(1,8))</f>
        <v>W006</v>
      </c>
      <c r="F392">
        <f t="shared" ca="1" si="18"/>
        <v>4</v>
      </c>
      <c r="G392">
        <f ca="1">_xlfn.XLOOKUP(Orders[[#This Row],[Product ID]],Products[Product ID],Products[Selling Price])</f>
        <v>1700</v>
      </c>
      <c r="H392" s="6">
        <f t="shared" ca="1" si="19"/>
        <v>0.05</v>
      </c>
      <c r="I392">
        <f ca="1">Orders[[#This Row],[Quantity]]*Orders[[#This Row],[Unit Price]]*(1-Orders[[#This Row],[Discount%]])</f>
        <v>6460</v>
      </c>
      <c r="J392" t="str" cm="1">
        <f t="array" aca="1" ref="J392" ca="1">INDEX(PaymentMethods[Payment Method],RANDBETWEEN(1,5))</f>
        <v>Debit Card</v>
      </c>
    </row>
    <row r="393" spans="1:10" x14ac:dyDescent="0.3">
      <c r="A393" t="str">
        <f t="shared" si="20"/>
        <v>O0392</v>
      </c>
      <c r="B393" s="6">
        <f ca="1">Orders[[#This Row],[Discount%]]</f>
        <v>0.15</v>
      </c>
      <c r="C393" t="str" cm="1">
        <f t="array" aca="1" ref="C393" ca="1">INDEX(Customers[Customer ID],RANDBETWEEN(1,200))</f>
        <v>C133</v>
      </c>
      <c r="D393" t="str" cm="1">
        <f t="array" aca="1" ref="D393" ca="1">INDEX(Products[Product ID],RANDBETWEEN(1,50))</f>
        <v>P020</v>
      </c>
      <c r="E393" t="str" cm="1">
        <f t="array" aca="1" ref="E393" ca="1">INDEX(Warehouses[Warehouse ID],RANDBETWEEN(1,8))</f>
        <v>W003</v>
      </c>
      <c r="F393">
        <f t="shared" ca="1" si="18"/>
        <v>9</v>
      </c>
      <c r="G393">
        <f ca="1">_xlfn.XLOOKUP(Orders[[#This Row],[Product ID]],Products[Product ID],Products[Selling Price])</f>
        <v>450</v>
      </c>
      <c r="H393" s="6">
        <f t="shared" ca="1" si="19"/>
        <v>0.15</v>
      </c>
      <c r="I393">
        <f ca="1">Orders[[#This Row],[Quantity]]*Orders[[#This Row],[Unit Price]]*(1-Orders[[#This Row],[Discount%]])</f>
        <v>3442.5</v>
      </c>
      <c r="J393" t="str" cm="1">
        <f t="array" aca="1" ref="J393" ca="1">INDEX(PaymentMethods[Payment Method],RANDBETWEEN(1,5))</f>
        <v>Debit Card</v>
      </c>
    </row>
    <row r="394" spans="1:10" x14ac:dyDescent="0.3">
      <c r="A394" t="str">
        <f t="shared" si="20"/>
        <v>O0393</v>
      </c>
      <c r="B394" s="6">
        <f ca="1">Orders[[#This Row],[Discount%]]</f>
        <v>0.17</v>
      </c>
      <c r="C394" t="str" cm="1">
        <f t="array" aca="1" ref="C394" ca="1">INDEX(Customers[Customer ID],RANDBETWEEN(1,200))</f>
        <v>C002</v>
      </c>
      <c r="D394" t="str" cm="1">
        <f t="array" aca="1" ref="D394" ca="1">INDEX(Products[Product ID],RANDBETWEEN(1,50))</f>
        <v>P044</v>
      </c>
      <c r="E394" t="str" cm="1">
        <f t="array" aca="1" ref="E394" ca="1">INDEX(Warehouses[Warehouse ID],RANDBETWEEN(1,8))</f>
        <v>W007</v>
      </c>
      <c r="F394">
        <f t="shared" ca="1" si="18"/>
        <v>1</v>
      </c>
      <c r="G394">
        <f ca="1">_xlfn.XLOOKUP(Orders[[#This Row],[Product ID]],Products[Product ID],Products[Selling Price])</f>
        <v>8500</v>
      </c>
      <c r="H394" s="6">
        <f t="shared" ca="1" si="19"/>
        <v>0.17</v>
      </c>
      <c r="I394">
        <f ca="1">Orders[[#This Row],[Quantity]]*Orders[[#This Row],[Unit Price]]*(1-Orders[[#This Row],[Discount%]])</f>
        <v>7055</v>
      </c>
      <c r="J394" t="str" cm="1">
        <f t="array" aca="1" ref="J394" ca="1">INDEX(PaymentMethods[Payment Method],RANDBETWEEN(1,5))</f>
        <v>Net Banking</v>
      </c>
    </row>
    <row r="395" spans="1:10" x14ac:dyDescent="0.3">
      <c r="A395" t="str">
        <f t="shared" si="20"/>
        <v>O0394</v>
      </c>
      <c r="B395" s="6">
        <f ca="1">Orders[[#This Row],[Discount%]]</f>
        <v>0.18</v>
      </c>
      <c r="C395" t="str" cm="1">
        <f t="array" aca="1" ref="C395" ca="1">INDEX(Customers[Customer ID],RANDBETWEEN(1,200))</f>
        <v>C063</v>
      </c>
      <c r="D395" t="str" cm="1">
        <f t="array" aca="1" ref="D395" ca="1">INDEX(Products[Product ID],RANDBETWEEN(1,50))</f>
        <v>P050</v>
      </c>
      <c r="E395" t="str" cm="1">
        <f t="array" aca="1" ref="E395" ca="1">INDEX(Warehouses[Warehouse ID],RANDBETWEEN(1,8))</f>
        <v>W007</v>
      </c>
      <c r="F395">
        <f t="shared" ca="1" si="18"/>
        <v>10</v>
      </c>
      <c r="G395">
        <f ca="1">_xlfn.XLOOKUP(Orders[[#This Row],[Product ID]],Products[Product ID],Products[Selling Price])</f>
        <v>12000</v>
      </c>
      <c r="H395" s="6">
        <f t="shared" ca="1" si="19"/>
        <v>0.18</v>
      </c>
      <c r="I395">
        <f ca="1">Orders[[#This Row],[Quantity]]*Orders[[#This Row],[Unit Price]]*(1-Orders[[#This Row],[Discount%]])</f>
        <v>98400.000000000015</v>
      </c>
      <c r="J395" t="str" cm="1">
        <f t="array" aca="1" ref="J395" ca="1">INDEX(PaymentMethods[Payment Method],RANDBETWEEN(1,5))</f>
        <v>UPI</v>
      </c>
    </row>
    <row r="396" spans="1:10" x14ac:dyDescent="0.3">
      <c r="A396" t="str">
        <f t="shared" si="20"/>
        <v>O0395</v>
      </c>
      <c r="B396" s="6">
        <f ca="1">Orders[[#This Row],[Discount%]]</f>
        <v>7.0000000000000007E-2</v>
      </c>
      <c r="C396" t="str" cm="1">
        <f t="array" aca="1" ref="C396" ca="1">INDEX(Customers[Customer ID],RANDBETWEEN(1,200))</f>
        <v>C071</v>
      </c>
      <c r="D396" t="str" cm="1">
        <f t="array" aca="1" ref="D396" ca="1">INDEX(Products[Product ID],RANDBETWEEN(1,50))</f>
        <v>P046</v>
      </c>
      <c r="E396" t="str" cm="1">
        <f t="array" aca="1" ref="E396" ca="1">INDEX(Warehouses[Warehouse ID],RANDBETWEEN(1,8))</f>
        <v>W001</v>
      </c>
      <c r="F396">
        <f t="shared" ca="1" si="18"/>
        <v>4</v>
      </c>
      <c r="G396">
        <f ca="1">_xlfn.XLOOKUP(Orders[[#This Row],[Product ID]],Products[Product ID],Products[Selling Price])</f>
        <v>2500</v>
      </c>
      <c r="H396" s="6">
        <f t="shared" ca="1" si="19"/>
        <v>7.0000000000000007E-2</v>
      </c>
      <c r="I396">
        <f ca="1">Orders[[#This Row],[Quantity]]*Orders[[#This Row],[Unit Price]]*(1-Orders[[#This Row],[Discount%]])</f>
        <v>9300</v>
      </c>
      <c r="J396" t="str" cm="1">
        <f t="array" aca="1" ref="J396" ca="1">INDEX(PaymentMethods[Payment Method],RANDBETWEEN(1,5))</f>
        <v>Debit Card</v>
      </c>
    </row>
    <row r="397" spans="1:10" x14ac:dyDescent="0.3">
      <c r="A397" t="str">
        <f t="shared" si="20"/>
        <v>O0396</v>
      </c>
      <c r="B397" s="6">
        <f ca="1">Orders[[#This Row],[Discount%]]</f>
        <v>0.14000000000000001</v>
      </c>
      <c r="C397" t="str" cm="1">
        <f t="array" aca="1" ref="C397" ca="1">INDEX(Customers[Customer ID],RANDBETWEEN(1,200))</f>
        <v>C112</v>
      </c>
      <c r="D397" t="str" cm="1">
        <f t="array" aca="1" ref="D397" ca="1">INDEX(Products[Product ID],RANDBETWEEN(1,50))</f>
        <v>P046</v>
      </c>
      <c r="E397" t="str" cm="1">
        <f t="array" aca="1" ref="E397" ca="1">INDEX(Warehouses[Warehouse ID],RANDBETWEEN(1,8))</f>
        <v>W006</v>
      </c>
      <c r="F397">
        <f t="shared" ca="1" si="18"/>
        <v>4</v>
      </c>
      <c r="G397">
        <f ca="1">_xlfn.XLOOKUP(Orders[[#This Row],[Product ID]],Products[Product ID],Products[Selling Price])</f>
        <v>2500</v>
      </c>
      <c r="H397" s="6">
        <f t="shared" ca="1" si="19"/>
        <v>0.14000000000000001</v>
      </c>
      <c r="I397">
        <f ca="1">Orders[[#This Row],[Quantity]]*Orders[[#This Row],[Unit Price]]*(1-Orders[[#This Row],[Discount%]])</f>
        <v>8600</v>
      </c>
      <c r="J397" t="str" cm="1">
        <f t="array" aca="1" ref="J397" ca="1">INDEX(PaymentMethods[Payment Method],RANDBETWEEN(1,5))</f>
        <v>Cash</v>
      </c>
    </row>
    <row r="398" spans="1:10" x14ac:dyDescent="0.3">
      <c r="A398" t="str">
        <f t="shared" si="20"/>
        <v>O0397</v>
      </c>
      <c r="B398" s="6">
        <f ca="1">Orders[[#This Row],[Discount%]]</f>
        <v>0.14000000000000001</v>
      </c>
      <c r="C398" t="str" cm="1">
        <f t="array" aca="1" ref="C398" ca="1">INDEX(Customers[Customer ID],RANDBETWEEN(1,200))</f>
        <v>C020</v>
      </c>
      <c r="D398" t="str" cm="1">
        <f t="array" aca="1" ref="D398" ca="1">INDEX(Products[Product ID],RANDBETWEEN(1,50))</f>
        <v>P006</v>
      </c>
      <c r="E398" t="str" cm="1">
        <f t="array" aca="1" ref="E398" ca="1">INDEX(Warehouses[Warehouse ID],RANDBETWEEN(1,8))</f>
        <v>W002</v>
      </c>
      <c r="F398">
        <f t="shared" ca="1" si="18"/>
        <v>2</v>
      </c>
      <c r="G398">
        <f ca="1">_xlfn.XLOOKUP(Orders[[#This Row],[Product ID]],Products[Product ID],Products[Selling Price])</f>
        <v>3500</v>
      </c>
      <c r="H398" s="6">
        <f t="shared" ca="1" si="19"/>
        <v>0.14000000000000001</v>
      </c>
      <c r="I398">
        <f ca="1">Orders[[#This Row],[Quantity]]*Orders[[#This Row],[Unit Price]]*(1-Orders[[#This Row],[Discount%]])</f>
        <v>6020</v>
      </c>
      <c r="J398" t="str" cm="1">
        <f t="array" aca="1" ref="J398" ca="1">INDEX(PaymentMethods[Payment Method],RANDBETWEEN(1,5))</f>
        <v>Debit Card</v>
      </c>
    </row>
    <row r="399" spans="1:10" x14ac:dyDescent="0.3">
      <c r="A399" t="str">
        <f t="shared" si="20"/>
        <v>O0398</v>
      </c>
      <c r="B399" s="6">
        <f ca="1">Orders[[#This Row],[Discount%]]</f>
        <v>0.15</v>
      </c>
      <c r="C399" t="str" cm="1">
        <f t="array" aca="1" ref="C399" ca="1">INDEX(Customers[Customer ID],RANDBETWEEN(1,200))</f>
        <v>C011</v>
      </c>
      <c r="D399" t="str" cm="1">
        <f t="array" aca="1" ref="D399" ca="1">INDEX(Products[Product ID],RANDBETWEEN(1,50))</f>
        <v>P017</v>
      </c>
      <c r="E399" t="str" cm="1">
        <f t="array" aca="1" ref="E399" ca="1">INDEX(Warehouses[Warehouse ID],RANDBETWEEN(1,8))</f>
        <v>W007</v>
      </c>
      <c r="F399">
        <f t="shared" ca="1" si="18"/>
        <v>5</v>
      </c>
      <c r="G399">
        <f ca="1">_xlfn.XLOOKUP(Orders[[#This Row],[Product ID]],Products[Product ID],Products[Selling Price])</f>
        <v>650</v>
      </c>
      <c r="H399" s="6">
        <f t="shared" ca="1" si="19"/>
        <v>0.15</v>
      </c>
      <c r="I399">
        <f ca="1">Orders[[#This Row],[Quantity]]*Orders[[#This Row],[Unit Price]]*(1-Orders[[#This Row],[Discount%]])</f>
        <v>2762.5</v>
      </c>
      <c r="J399" t="str" cm="1">
        <f t="array" aca="1" ref="J399" ca="1">INDEX(PaymentMethods[Payment Method],RANDBETWEEN(1,5))</f>
        <v>Cash</v>
      </c>
    </row>
    <row r="400" spans="1:10" x14ac:dyDescent="0.3">
      <c r="A400" t="str">
        <f t="shared" si="20"/>
        <v>O0399</v>
      </c>
      <c r="B400" s="6">
        <f ca="1">Orders[[#This Row],[Discount%]]</f>
        <v>0.17</v>
      </c>
      <c r="C400" t="str" cm="1">
        <f t="array" aca="1" ref="C400" ca="1">INDEX(Customers[Customer ID],RANDBETWEEN(1,200))</f>
        <v>C175</v>
      </c>
      <c r="D400" t="str" cm="1">
        <f t="array" aca="1" ref="D400" ca="1">INDEX(Products[Product ID],RANDBETWEEN(1,50))</f>
        <v>P043</v>
      </c>
      <c r="E400" t="str" cm="1">
        <f t="array" aca="1" ref="E400" ca="1">INDEX(Warehouses[Warehouse ID],RANDBETWEEN(1,8))</f>
        <v>W003</v>
      </c>
      <c r="F400">
        <f t="shared" ca="1" si="18"/>
        <v>8</v>
      </c>
      <c r="G400">
        <f ca="1">_xlfn.XLOOKUP(Orders[[#This Row],[Product ID]],Products[Product ID],Products[Selling Price])</f>
        <v>24500</v>
      </c>
      <c r="H400" s="6">
        <f t="shared" ca="1" si="19"/>
        <v>0.17</v>
      </c>
      <c r="I400">
        <f ca="1">Orders[[#This Row],[Quantity]]*Orders[[#This Row],[Unit Price]]*(1-Orders[[#This Row],[Discount%]])</f>
        <v>162680</v>
      </c>
      <c r="J400" t="str" cm="1">
        <f t="array" aca="1" ref="J400" ca="1">INDEX(PaymentMethods[Payment Method],RANDBETWEEN(1,5))</f>
        <v>Net Banking</v>
      </c>
    </row>
    <row r="401" spans="1:10" x14ac:dyDescent="0.3">
      <c r="A401" t="str">
        <f t="shared" si="20"/>
        <v>O0400</v>
      </c>
      <c r="B401" s="6">
        <f ca="1">Orders[[#This Row],[Discount%]]</f>
        <v>0.18</v>
      </c>
      <c r="C401" t="str" cm="1">
        <f t="array" aca="1" ref="C401" ca="1">INDEX(Customers[Customer ID],RANDBETWEEN(1,200))</f>
        <v>C007</v>
      </c>
      <c r="D401" t="str" cm="1">
        <f t="array" aca="1" ref="D401" ca="1">INDEX(Products[Product ID],RANDBETWEEN(1,50))</f>
        <v>P031</v>
      </c>
      <c r="E401" t="str" cm="1">
        <f t="array" aca="1" ref="E401" ca="1">INDEX(Warehouses[Warehouse ID],RANDBETWEEN(1,8))</f>
        <v>W005</v>
      </c>
      <c r="F401">
        <f t="shared" ca="1" si="18"/>
        <v>5</v>
      </c>
      <c r="G401">
        <f ca="1">_xlfn.XLOOKUP(Orders[[#This Row],[Product ID]],Products[Product ID],Products[Selling Price])</f>
        <v>90</v>
      </c>
      <c r="H401" s="6">
        <f t="shared" ca="1" si="19"/>
        <v>0.18</v>
      </c>
      <c r="I401">
        <f ca="1">Orders[[#This Row],[Quantity]]*Orders[[#This Row],[Unit Price]]*(1-Orders[[#This Row],[Discount%]])</f>
        <v>369</v>
      </c>
      <c r="J401" t="str" cm="1">
        <f t="array" aca="1" ref="J401" ca="1">INDEX(PaymentMethods[Payment Method],RANDBETWEEN(1,5))</f>
        <v>Cash</v>
      </c>
    </row>
    <row r="402" spans="1:10" x14ac:dyDescent="0.3">
      <c r="A402" t="str">
        <f t="shared" si="20"/>
        <v>O0401</v>
      </c>
      <c r="B402" s="6">
        <f ca="1">Orders[[#This Row],[Discount%]]</f>
        <v>0.03</v>
      </c>
      <c r="C402" t="str" cm="1">
        <f t="array" aca="1" ref="C402" ca="1">INDEX(Customers[Customer ID],RANDBETWEEN(1,200))</f>
        <v>C143</v>
      </c>
      <c r="D402" t="str" cm="1">
        <f t="array" aca="1" ref="D402" ca="1">INDEX(Products[Product ID],RANDBETWEEN(1,50))</f>
        <v>P032</v>
      </c>
      <c r="E402" t="str" cm="1">
        <f t="array" aca="1" ref="E402" ca="1">INDEX(Warehouses[Warehouse ID],RANDBETWEEN(1,8))</f>
        <v>W005</v>
      </c>
      <c r="F402">
        <f t="shared" ca="1" si="18"/>
        <v>2</v>
      </c>
      <c r="G402">
        <f ca="1">_xlfn.XLOOKUP(Orders[[#This Row],[Product ID]],Products[Product ID],Products[Selling Price])</f>
        <v>220</v>
      </c>
      <c r="H402" s="6">
        <f t="shared" ca="1" si="19"/>
        <v>0.03</v>
      </c>
      <c r="I402">
        <f ca="1">Orders[[#This Row],[Quantity]]*Orders[[#This Row],[Unit Price]]*(1-Orders[[#This Row],[Discount%]])</f>
        <v>426.8</v>
      </c>
      <c r="J402" t="str" cm="1">
        <f t="array" aca="1" ref="J402" ca="1">INDEX(PaymentMethods[Payment Method],RANDBETWEEN(1,5))</f>
        <v>Credit Card</v>
      </c>
    </row>
    <row r="403" spans="1:10" x14ac:dyDescent="0.3">
      <c r="A403" t="str">
        <f t="shared" si="20"/>
        <v>O0402</v>
      </c>
      <c r="B403" s="6">
        <f ca="1">Orders[[#This Row],[Discount%]]</f>
        <v>0.02</v>
      </c>
      <c r="C403" t="str" cm="1">
        <f t="array" aca="1" ref="C403" ca="1">INDEX(Customers[Customer ID],RANDBETWEEN(1,200))</f>
        <v>C122</v>
      </c>
      <c r="D403" t="str" cm="1">
        <f t="array" aca="1" ref="D403" ca="1">INDEX(Products[Product ID],RANDBETWEEN(1,50))</f>
        <v>P028</v>
      </c>
      <c r="E403" t="str" cm="1">
        <f t="array" aca="1" ref="E403" ca="1">INDEX(Warehouses[Warehouse ID],RANDBETWEEN(1,8))</f>
        <v>W006</v>
      </c>
      <c r="F403">
        <f t="shared" ca="1" si="18"/>
        <v>3</v>
      </c>
      <c r="G403">
        <f ca="1">_xlfn.XLOOKUP(Orders[[#This Row],[Product ID]],Products[Product ID],Products[Selling Price])</f>
        <v>16500</v>
      </c>
      <c r="H403" s="6">
        <f t="shared" ca="1" si="19"/>
        <v>0.02</v>
      </c>
      <c r="I403">
        <f ca="1">Orders[[#This Row],[Quantity]]*Orders[[#This Row],[Unit Price]]*(1-Orders[[#This Row],[Discount%]])</f>
        <v>48510</v>
      </c>
      <c r="J403" t="str" cm="1">
        <f t="array" aca="1" ref="J403" ca="1">INDEX(PaymentMethods[Payment Method],RANDBETWEEN(1,5))</f>
        <v>Credit Card</v>
      </c>
    </row>
    <row r="404" spans="1:10" x14ac:dyDescent="0.3">
      <c r="A404" t="str">
        <f t="shared" si="20"/>
        <v>O0403</v>
      </c>
      <c r="B404" s="6">
        <f ca="1">Orders[[#This Row],[Discount%]]</f>
        <v>0.13</v>
      </c>
      <c r="C404" t="str" cm="1">
        <f t="array" aca="1" ref="C404" ca="1">INDEX(Customers[Customer ID],RANDBETWEEN(1,200))</f>
        <v>C030</v>
      </c>
      <c r="D404" t="str" cm="1">
        <f t="array" aca="1" ref="D404" ca="1">INDEX(Products[Product ID],RANDBETWEEN(1,50))</f>
        <v>P002</v>
      </c>
      <c r="E404" t="str" cm="1">
        <f t="array" aca="1" ref="E404" ca="1">INDEX(Warehouses[Warehouse ID],RANDBETWEEN(1,8))</f>
        <v>W006</v>
      </c>
      <c r="F404">
        <f t="shared" ca="1" si="18"/>
        <v>5</v>
      </c>
      <c r="G404">
        <f ca="1">_xlfn.XLOOKUP(Orders[[#This Row],[Product ID]],Products[Product ID],Products[Selling Price])</f>
        <v>550</v>
      </c>
      <c r="H404" s="6">
        <f t="shared" ca="1" si="19"/>
        <v>0.13</v>
      </c>
      <c r="I404">
        <f ca="1">Orders[[#This Row],[Quantity]]*Orders[[#This Row],[Unit Price]]*(1-Orders[[#This Row],[Discount%]])</f>
        <v>2392.5</v>
      </c>
      <c r="J404" t="str" cm="1">
        <f t="array" aca="1" ref="J404" ca="1">INDEX(PaymentMethods[Payment Method],RANDBETWEEN(1,5))</f>
        <v>Net Banking</v>
      </c>
    </row>
    <row r="405" spans="1:10" x14ac:dyDescent="0.3">
      <c r="A405" t="str">
        <f t="shared" si="20"/>
        <v>O0404</v>
      </c>
      <c r="B405" s="6">
        <f ca="1">Orders[[#This Row],[Discount%]]</f>
        <v>0.01</v>
      </c>
      <c r="C405" t="str" cm="1">
        <f t="array" aca="1" ref="C405" ca="1">INDEX(Customers[Customer ID],RANDBETWEEN(1,200))</f>
        <v>C104</v>
      </c>
      <c r="D405" t="str" cm="1">
        <f t="array" aca="1" ref="D405" ca="1">INDEX(Products[Product ID],RANDBETWEEN(1,50))</f>
        <v>P015</v>
      </c>
      <c r="E405" t="str" cm="1">
        <f t="array" aca="1" ref="E405" ca="1">INDEX(Warehouses[Warehouse ID],RANDBETWEEN(1,8))</f>
        <v>W007</v>
      </c>
      <c r="F405">
        <f t="shared" ca="1" si="18"/>
        <v>4</v>
      </c>
      <c r="G405">
        <f ca="1">_xlfn.XLOOKUP(Orders[[#This Row],[Product ID]],Products[Product ID],Products[Selling Price])</f>
        <v>1800</v>
      </c>
      <c r="H405" s="6">
        <f t="shared" ca="1" si="19"/>
        <v>0.01</v>
      </c>
      <c r="I405">
        <f ca="1">Orders[[#This Row],[Quantity]]*Orders[[#This Row],[Unit Price]]*(1-Orders[[#This Row],[Discount%]])</f>
        <v>7128</v>
      </c>
      <c r="J405" t="str" cm="1">
        <f t="array" aca="1" ref="J405" ca="1">INDEX(PaymentMethods[Payment Method],RANDBETWEEN(1,5))</f>
        <v>UPI</v>
      </c>
    </row>
    <row r="406" spans="1:10" x14ac:dyDescent="0.3">
      <c r="A406" t="str">
        <f t="shared" si="20"/>
        <v>O0405</v>
      </c>
      <c r="B406" s="6">
        <f ca="1">Orders[[#This Row],[Discount%]]</f>
        <v>0.12</v>
      </c>
      <c r="C406" t="str" cm="1">
        <f t="array" aca="1" ref="C406" ca="1">INDEX(Customers[Customer ID],RANDBETWEEN(1,200))</f>
        <v>C143</v>
      </c>
      <c r="D406" t="str" cm="1">
        <f t="array" aca="1" ref="D406" ca="1">INDEX(Products[Product ID],RANDBETWEEN(1,50))</f>
        <v>P050</v>
      </c>
      <c r="E406" t="str" cm="1">
        <f t="array" aca="1" ref="E406" ca="1">INDEX(Warehouses[Warehouse ID],RANDBETWEEN(1,8))</f>
        <v>W001</v>
      </c>
      <c r="F406">
        <f t="shared" ca="1" si="18"/>
        <v>2</v>
      </c>
      <c r="G406">
        <f ca="1">_xlfn.XLOOKUP(Orders[[#This Row],[Product ID]],Products[Product ID],Products[Selling Price])</f>
        <v>12000</v>
      </c>
      <c r="H406" s="6">
        <f t="shared" ca="1" si="19"/>
        <v>0.12</v>
      </c>
      <c r="I406">
        <f ca="1">Orders[[#This Row],[Quantity]]*Orders[[#This Row],[Unit Price]]*(1-Orders[[#This Row],[Discount%]])</f>
        <v>21120</v>
      </c>
      <c r="J406" t="str" cm="1">
        <f t="array" aca="1" ref="J406" ca="1">INDEX(PaymentMethods[Payment Method],RANDBETWEEN(1,5))</f>
        <v>Credit Card</v>
      </c>
    </row>
    <row r="407" spans="1:10" x14ac:dyDescent="0.3">
      <c r="A407" t="str">
        <f t="shared" si="20"/>
        <v>O0406</v>
      </c>
      <c r="B407" s="6">
        <f ca="1">Orders[[#This Row],[Discount%]]</f>
        <v>0.08</v>
      </c>
      <c r="C407" t="str" cm="1">
        <f t="array" aca="1" ref="C407" ca="1">INDEX(Customers[Customer ID],RANDBETWEEN(1,200))</f>
        <v>C037</v>
      </c>
      <c r="D407" t="str" cm="1">
        <f t="array" aca="1" ref="D407" ca="1">INDEX(Products[Product ID],RANDBETWEEN(1,50))</f>
        <v>P006</v>
      </c>
      <c r="E407" t="str" cm="1">
        <f t="array" aca="1" ref="E407" ca="1">INDEX(Warehouses[Warehouse ID],RANDBETWEEN(1,8))</f>
        <v>W008</v>
      </c>
      <c r="F407">
        <f t="shared" ca="1" si="18"/>
        <v>1</v>
      </c>
      <c r="G407">
        <f ca="1">_xlfn.XLOOKUP(Orders[[#This Row],[Product ID]],Products[Product ID],Products[Selling Price])</f>
        <v>3500</v>
      </c>
      <c r="H407" s="6">
        <f t="shared" ca="1" si="19"/>
        <v>0.08</v>
      </c>
      <c r="I407">
        <f ca="1">Orders[[#This Row],[Quantity]]*Orders[[#This Row],[Unit Price]]*(1-Orders[[#This Row],[Discount%]])</f>
        <v>3220</v>
      </c>
      <c r="J407" t="str" cm="1">
        <f t="array" aca="1" ref="J407" ca="1">INDEX(PaymentMethods[Payment Method],RANDBETWEEN(1,5))</f>
        <v>UPI</v>
      </c>
    </row>
    <row r="408" spans="1:10" x14ac:dyDescent="0.3">
      <c r="A408" t="str">
        <f t="shared" si="20"/>
        <v>O0407</v>
      </c>
      <c r="B408" s="6">
        <f ca="1">Orders[[#This Row],[Discount%]]</f>
        <v>0.03</v>
      </c>
      <c r="C408" t="str" cm="1">
        <f t="array" aca="1" ref="C408" ca="1">INDEX(Customers[Customer ID],RANDBETWEEN(1,200))</f>
        <v>C079</v>
      </c>
      <c r="D408" t="str" cm="1">
        <f t="array" aca="1" ref="D408" ca="1">INDEX(Products[Product ID],RANDBETWEEN(1,50))</f>
        <v>P046</v>
      </c>
      <c r="E408" t="str" cm="1">
        <f t="array" aca="1" ref="E408" ca="1">INDEX(Warehouses[Warehouse ID],RANDBETWEEN(1,8))</f>
        <v>W006</v>
      </c>
      <c r="F408">
        <f t="shared" ca="1" si="18"/>
        <v>10</v>
      </c>
      <c r="G408">
        <f ca="1">_xlfn.XLOOKUP(Orders[[#This Row],[Product ID]],Products[Product ID],Products[Selling Price])</f>
        <v>2500</v>
      </c>
      <c r="H408" s="6">
        <f t="shared" ca="1" si="19"/>
        <v>0.03</v>
      </c>
      <c r="I408">
        <f ca="1">Orders[[#This Row],[Quantity]]*Orders[[#This Row],[Unit Price]]*(1-Orders[[#This Row],[Discount%]])</f>
        <v>24250</v>
      </c>
      <c r="J408" t="str" cm="1">
        <f t="array" aca="1" ref="J408" ca="1">INDEX(PaymentMethods[Payment Method],RANDBETWEEN(1,5))</f>
        <v>Debit Card</v>
      </c>
    </row>
    <row r="409" spans="1:10" x14ac:dyDescent="0.3">
      <c r="A409" t="str">
        <f t="shared" si="20"/>
        <v>O0408</v>
      </c>
      <c r="B409" s="6">
        <f ca="1">Orders[[#This Row],[Discount%]]</f>
        <v>0.1</v>
      </c>
      <c r="C409" t="str" cm="1">
        <f t="array" aca="1" ref="C409" ca="1">INDEX(Customers[Customer ID],RANDBETWEEN(1,200))</f>
        <v>C003</v>
      </c>
      <c r="D409" t="str" cm="1">
        <f t="array" aca="1" ref="D409" ca="1">INDEX(Products[Product ID],RANDBETWEEN(1,50))</f>
        <v>P042</v>
      </c>
      <c r="E409" t="str" cm="1">
        <f t="array" aca="1" ref="E409" ca="1">INDEX(Warehouses[Warehouse ID],RANDBETWEEN(1,8))</f>
        <v>W001</v>
      </c>
      <c r="F409">
        <f t="shared" ca="1" si="18"/>
        <v>4</v>
      </c>
      <c r="G409">
        <f ca="1">_xlfn.XLOOKUP(Orders[[#This Row],[Product ID]],Products[Product ID],Products[Selling Price])</f>
        <v>29000</v>
      </c>
      <c r="H409" s="6">
        <f t="shared" ca="1" si="19"/>
        <v>0.1</v>
      </c>
      <c r="I409">
        <f ca="1">Orders[[#This Row],[Quantity]]*Orders[[#This Row],[Unit Price]]*(1-Orders[[#This Row],[Discount%]])</f>
        <v>104400</v>
      </c>
      <c r="J409" t="str" cm="1">
        <f t="array" aca="1" ref="J409" ca="1">INDEX(PaymentMethods[Payment Method],RANDBETWEEN(1,5))</f>
        <v>Net Banking</v>
      </c>
    </row>
    <row r="410" spans="1:10" x14ac:dyDescent="0.3">
      <c r="A410" t="str">
        <f t="shared" si="20"/>
        <v>O0409</v>
      </c>
      <c r="B410" s="6">
        <f ca="1">Orders[[#This Row],[Discount%]]</f>
        <v>0.09</v>
      </c>
      <c r="C410" t="str" cm="1">
        <f t="array" aca="1" ref="C410" ca="1">INDEX(Customers[Customer ID],RANDBETWEEN(1,200))</f>
        <v>C108</v>
      </c>
      <c r="D410" t="str" cm="1">
        <f t="array" aca="1" ref="D410" ca="1">INDEX(Products[Product ID],RANDBETWEEN(1,50))</f>
        <v>P034</v>
      </c>
      <c r="E410" t="str" cm="1">
        <f t="array" aca="1" ref="E410" ca="1">INDEX(Warehouses[Warehouse ID],RANDBETWEEN(1,8))</f>
        <v>W005</v>
      </c>
      <c r="F410">
        <f t="shared" ca="1" si="18"/>
        <v>8</v>
      </c>
      <c r="G410">
        <f ca="1">_xlfn.XLOOKUP(Orders[[#This Row],[Product ID]],Products[Product ID],Products[Selling Price])</f>
        <v>120</v>
      </c>
      <c r="H410" s="6">
        <f t="shared" ca="1" si="19"/>
        <v>0.09</v>
      </c>
      <c r="I410">
        <f ca="1">Orders[[#This Row],[Quantity]]*Orders[[#This Row],[Unit Price]]*(1-Orders[[#This Row],[Discount%]])</f>
        <v>873.6</v>
      </c>
      <c r="J410" t="str" cm="1">
        <f t="array" aca="1" ref="J410" ca="1">INDEX(PaymentMethods[Payment Method],RANDBETWEEN(1,5))</f>
        <v>Credit Card</v>
      </c>
    </row>
    <row r="411" spans="1:10" x14ac:dyDescent="0.3">
      <c r="A411" t="str">
        <f t="shared" si="20"/>
        <v>O0410</v>
      </c>
      <c r="B411" s="6">
        <f ca="1">Orders[[#This Row],[Discount%]]</f>
        <v>0.04</v>
      </c>
      <c r="C411" t="str" cm="1">
        <f t="array" aca="1" ref="C411" ca="1">INDEX(Customers[Customer ID],RANDBETWEEN(1,200))</f>
        <v>C199</v>
      </c>
      <c r="D411" t="str" cm="1">
        <f t="array" aca="1" ref="D411" ca="1">INDEX(Products[Product ID],RANDBETWEEN(1,50))</f>
        <v>P010</v>
      </c>
      <c r="E411" t="str" cm="1">
        <f t="array" aca="1" ref="E411" ca="1">INDEX(Warehouses[Warehouse ID],RANDBETWEEN(1,8))</f>
        <v>W007</v>
      </c>
      <c r="F411">
        <f t="shared" ca="1" si="18"/>
        <v>1</v>
      </c>
      <c r="G411">
        <f ca="1">_xlfn.XLOOKUP(Orders[[#This Row],[Product ID]],Products[Product ID],Products[Selling Price])</f>
        <v>250</v>
      </c>
      <c r="H411" s="6">
        <f t="shared" ca="1" si="19"/>
        <v>0.04</v>
      </c>
      <c r="I411">
        <f ca="1">Orders[[#This Row],[Quantity]]*Orders[[#This Row],[Unit Price]]*(1-Orders[[#This Row],[Discount%]])</f>
        <v>240</v>
      </c>
      <c r="J411" t="str" cm="1">
        <f t="array" aca="1" ref="J411" ca="1">INDEX(PaymentMethods[Payment Method],RANDBETWEEN(1,5))</f>
        <v>Debit Card</v>
      </c>
    </row>
    <row r="412" spans="1:10" x14ac:dyDescent="0.3">
      <c r="A412" t="str">
        <f t="shared" si="20"/>
        <v>O0411</v>
      </c>
      <c r="B412" s="6">
        <f ca="1">Orders[[#This Row],[Discount%]]</f>
        <v>0.17</v>
      </c>
      <c r="C412" t="str" cm="1">
        <f t="array" aca="1" ref="C412" ca="1">INDEX(Customers[Customer ID],RANDBETWEEN(1,200))</f>
        <v>C093</v>
      </c>
      <c r="D412" t="str" cm="1">
        <f t="array" aca="1" ref="D412" ca="1">INDEX(Products[Product ID],RANDBETWEEN(1,50))</f>
        <v>P046</v>
      </c>
      <c r="E412" t="str" cm="1">
        <f t="array" aca="1" ref="E412" ca="1">INDEX(Warehouses[Warehouse ID],RANDBETWEEN(1,8))</f>
        <v>W005</v>
      </c>
      <c r="F412">
        <f t="shared" ca="1" si="18"/>
        <v>2</v>
      </c>
      <c r="G412">
        <f ca="1">_xlfn.XLOOKUP(Orders[[#This Row],[Product ID]],Products[Product ID],Products[Selling Price])</f>
        <v>2500</v>
      </c>
      <c r="H412" s="6">
        <f t="shared" ca="1" si="19"/>
        <v>0.17</v>
      </c>
      <c r="I412">
        <f ca="1">Orders[[#This Row],[Quantity]]*Orders[[#This Row],[Unit Price]]*(1-Orders[[#This Row],[Discount%]])</f>
        <v>4150</v>
      </c>
      <c r="J412" t="str" cm="1">
        <f t="array" aca="1" ref="J412" ca="1">INDEX(PaymentMethods[Payment Method],RANDBETWEEN(1,5))</f>
        <v>UPI</v>
      </c>
    </row>
    <row r="413" spans="1:10" x14ac:dyDescent="0.3">
      <c r="A413" t="str">
        <f t="shared" si="20"/>
        <v>O0412</v>
      </c>
      <c r="B413" s="6">
        <f ca="1">Orders[[#This Row],[Discount%]]</f>
        <v>0.19</v>
      </c>
      <c r="C413" t="str" cm="1">
        <f t="array" aca="1" ref="C413" ca="1">INDEX(Customers[Customer ID],RANDBETWEEN(1,200))</f>
        <v>C051</v>
      </c>
      <c r="D413" t="str" cm="1">
        <f t="array" aca="1" ref="D413" ca="1">INDEX(Products[Product ID],RANDBETWEEN(1,50))</f>
        <v>P039</v>
      </c>
      <c r="E413" t="str" cm="1">
        <f t="array" aca="1" ref="E413" ca="1">INDEX(Warehouses[Warehouse ID],RANDBETWEEN(1,8))</f>
        <v>W006</v>
      </c>
      <c r="F413">
        <f t="shared" ca="1" si="18"/>
        <v>3</v>
      </c>
      <c r="G413">
        <f ca="1">_xlfn.XLOOKUP(Orders[[#This Row],[Product ID]],Products[Product ID],Products[Selling Price])</f>
        <v>250</v>
      </c>
      <c r="H413" s="6">
        <f t="shared" ca="1" si="19"/>
        <v>0.19</v>
      </c>
      <c r="I413">
        <f ca="1">Orders[[#This Row],[Quantity]]*Orders[[#This Row],[Unit Price]]*(1-Orders[[#This Row],[Discount%]])</f>
        <v>607.5</v>
      </c>
      <c r="J413" t="str" cm="1">
        <f t="array" aca="1" ref="J413" ca="1">INDEX(PaymentMethods[Payment Method],RANDBETWEEN(1,5))</f>
        <v>UPI</v>
      </c>
    </row>
    <row r="414" spans="1:10" x14ac:dyDescent="0.3">
      <c r="A414" t="str">
        <f t="shared" si="20"/>
        <v>O0413</v>
      </c>
      <c r="B414" s="6">
        <f ca="1">Orders[[#This Row],[Discount%]]</f>
        <v>0.16</v>
      </c>
      <c r="C414" t="str" cm="1">
        <f t="array" aca="1" ref="C414" ca="1">INDEX(Customers[Customer ID],RANDBETWEEN(1,200))</f>
        <v>C173</v>
      </c>
      <c r="D414" t="str" cm="1">
        <f t="array" aca="1" ref="D414" ca="1">INDEX(Products[Product ID],RANDBETWEEN(1,50))</f>
        <v>P042</v>
      </c>
      <c r="E414" t="str" cm="1">
        <f t="array" aca="1" ref="E414" ca="1">INDEX(Warehouses[Warehouse ID],RANDBETWEEN(1,8))</f>
        <v>W001</v>
      </c>
      <c r="F414">
        <f t="shared" ca="1" si="18"/>
        <v>8</v>
      </c>
      <c r="G414">
        <f ca="1">_xlfn.XLOOKUP(Orders[[#This Row],[Product ID]],Products[Product ID],Products[Selling Price])</f>
        <v>29000</v>
      </c>
      <c r="H414" s="6">
        <f t="shared" ca="1" si="19"/>
        <v>0.16</v>
      </c>
      <c r="I414">
        <f ca="1">Orders[[#This Row],[Quantity]]*Orders[[#This Row],[Unit Price]]*(1-Orders[[#This Row],[Discount%]])</f>
        <v>194880</v>
      </c>
      <c r="J414" t="str" cm="1">
        <f t="array" aca="1" ref="J414" ca="1">INDEX(PaymentMethods[Payment Method],RANDBETWEEN(1,5))</f>
        <v>Debit Card</v>
      </c>
    </row>
    <row r="415" spans="1:10" x14ac:dyDescent="0.3">
      <c r="A415" t="str">
        <f t="shared" si="20"/>
        <v>O0414</v>
      </c>
      <c r="B415" s="6">
        <f ca="1">Orders[[#This Row],[Discount%]]</f>
        <v>0.03</v>
      </c>
      <c r="C415" t="str" cm="1">
        <f t="array" aca="1" ref="C415" ca="1">INDEX(Customers[Customer ID],RANDBETWEEN(1,200))</f>
        <v>C036</v>
      </c>
      <c r="D415" t="str" cm="1">
        <f t="array" aca="1" ref="D415" ca="1">INDEX(Products[Product ID],RANDBETWEEN(1,50))</f>
        <v>P020</v>
      </c>
      <c r="E415" t="str" cm="1">
        <f t="array" aca="1" ref="E415" ca="1">INDEX(Warehouses[Warehouse ID],RANDBETWEEN(1,8))</f>
        <v>W006</v>
      </c>
      <c r="F415">
        <f t="shared" ca="1" si="18"/>
        <v>8</v>
      </c>
      <c r="G415">
        <f ca="1">_xlfn.XLOOKUP(Orders[[#This Row],[Product ID]],Products[Product ID],Products[Selling Price])</f>
        <v>450</v>
      </c>
      <c r="H415" s="6">
        <f t="shared" ca="1" si="19"/>
        <v>0.03</v>
      </c>
      <c r="I415">
        <f ca="1">Orders[[#This Row],[Quantity]]*Orders[[#This Row],[Unit Price]]*(1-Orders[[#This Row],[Discount%]])</f>
        <v>3492</v>
      </c>
      <c r="J415" t="str" cm="1">
        <f t="array" aca="1" ref="J415" ca="1">INDEX(PaymentMethods[Payment Method],RANDBETWEEN(1,5))</f>
        <v>Debit Card</v>
      </c>
    </row>
    <row r="416" spans="1:10" x14ac:dyDescent="0.3">
      <c r="A416" t="str">
        <f t="shared" si="20"/>
        <v>O0415</v>
      </c>
      <c r="B416" s="6">
        <f ca="1">Orders[[#This Row],[Discount%]]</f>
        <v>0.2</v>
      </c>
      <c r="C416" t="str" cm="1">
        <f t="array" aca="1" ref="C416" ca="1">INDEX(Customers[Customer ID],RANDBETWEEN(1,200))</f>
        <v>C131</v>
      </c>
      <c r="D416" t="str" cm="1">
        <f t="array" aca="1" ref="D416" ca="1">INDEX(Products[Product ID],RANDBETWEEN(1,50))</f>
        <v>P034</v>
      </c>
      <c r="E416" t="str" cm="1">
        <f t="array" aca="1" ref="E416" ca="1">INDEX(Warehouses[Warehouse ID],RANDBETWEEN(1,8))</f>
        <v>W007</v>
      </c>
      <c r="F416">
        <f t="shared" ca="1" si="18"/>
        <v>8</v>
      </c>
      <c r="G416">
        <f ca="1">_xlfn.XLOOKUP(Orders[[#This Row],[Product ID]],Products[Product ID],Products[Selling Price])</f>
        <v>120</v>
      </c>
      <c r="H416" s="6">
        <f t="shared" ca="1" si="19"/>
        <v>0.2</v>
      </c>
      <c r="I416">
        <f ca="1">Orders[[#This Row],[Quantity]]*Orders[[#This Row],[Unit Price]]*(1-Orders[[#This Row],[Discount%]])</f>
        <v>768</v>
      </c>
      <c r="J416" t="str" cm="1">
        <f t="array" aca="1" ref="J416" ca="1">INDEX(PaymentMethods[Payment Method],RANDBETWEEN(1,5))</f>
        <v>Net Banking</v>
      </c>
    </row>
    <row r="417" spans="1:10" x14ac:dyDescent="0.3">
      <c r="A417" t="str">
        <f t="shared" si="20"/>
        <v>O0416</v>
      </c>
      <c r="B417" s="6">
        <f ca="1">Orders[[#This Row],[Discount%]]</f>
        <v>0.13</v>
      </c>
      <c r="C417" t="str" cm="1">
        <f t="array" aca="1" ref="C417" ca="1">INDEX(Customers[Customer ID],RANDBETWEEN(1,200))</f>
        <v>C155</v>
      </c>
      <c r="D417" t="str" cm="1">
        <f t="array" aca="1" ref="D417" ca="1">INDEX(Products[Product ID],RANDBETWEEN(1,50))</f>
        <v>P029</v>
      </c>
      <c r="E417" t="str" cm="1">
        <f t="array" aca="1" ref="E417" ca="1">INDEX(Warehouses[Warehouse ID],RANDBETWEEN(1,8))</f>
        <v>W001</v>
      </c>
      <c r="F417">
        <f t="shared" ca="1" si="18"/>
        <v>3</v>
      </c>
      <c r="G417">
        <f ca="1">_xlfn.XLOOKUP(Orders[[#This Row],[Product ID]],Products[Product ID],Products[Selling Price])</f>
        <v>3200</v>
      </c>
      <c r="H417" s="6">
        <f t="shared" ca="1" si="19"/>
        <v>0.13</v>
      </c>
      <c r="I417">
        <f ca="1">Orders[[#This Row],[Quantity]]*Orders[[#This Row],[Unit Price]]*(1-Orders[[#This Row],[Discount%]])</f>
        <v>8352</v>
      </c>
      <c r="J417" t="str" cm="1">
        <f t="array" aca="1" ref="J417" ca="1">INDEX(PaymentMethods[Payment Method],RANDBETWEEN(1,5))</f>
        <v>Cash</v>
      </c>
    </row>
    <row r="418" spans="1:10" x14ac:dyDescent="0.3">
      <c r="A418" t="str">
        <f t="shared" si="20"/>
        <v>O0417</v>
      </c>
      <c r="B418" s="6">
        <f ca="1">Orders[[#This Row],[Discount%]]</f>
        <v>0</v>
      </c>
      <c r="C418" t="str" cm="1">
        <f t="array" aca="1" ref="C418" ca="1">INDEX(Customers[Customer ID],RANDBETWEEN(1,200))</f>
        <v>C033</v>
      </c>
      <c r="D418" t="str" cm="1">
        <f t="array" aca="1" ref="D418" ca="1">INDEX(Products[Product ID],RANDBETWEEN(1,50))</f>
        <v>P026</v>
      </c>
      <c r="E418" t="str" cm="1">
        <f t="array" aca="1" ref="E418" ca="1">INDEX(Warehouses[Warehouse ID],RANDBETWEEN(1,8))</f>
        <v>W001</v>
      </c>
      <c r="F418">
        <f t="shared" ca="1" si="18"/>
        <v>1</v>
      </c>
      <c r="G418">
        <f ca="1">_xlfn.XLOOKUP(Orders[[#This Row],[Product ID]],Products[Product ID],Products[Selling Price])</f>
        <v>650</v>
      </c>
      <c r="H418" s="6">
        <f t="shared" ca="1" si="19"/>
        <v>0</v>
      </c>
      <c r="I418">
        <f ca="1">Orders[[#This Row],[Quantity]]*Orders[[#This Row],[Unit Price]]*(1-Orders[[#This Row],[Discount%]])</f>
        <v>650</v>
      </c>
      <c r="J418" t="str" cm="1">
        <f t="array" aca="1" ref="J418" ca="1">INDEX(PaymentMethods[Payment Method],RANDBETWEEN(1,5))</f>
        <v>UPI</v>
      </c>
    </row>
    <row r="419" spans="1:10" x14ac:dyDescent="0.3">
      <c r="A419" t="str">
        <f t="shared" si="20"/>
        <v>O0418</v>
      </c>
      <c r="B419" s="6">
        <f ca="1">Orders[[#This Row],[Discount%]]</f>
        <v>0.15</v>
      </c>
      <c r="C419" t="str" cm="1">
        <f t="array" aca="1" ref="C419" ca="1">INDEX(Customers[Customer ID],RANDBETWEEN(1,200))</f>
        <v>C147</v>
      </c>
      <c r="D419" t="str" cm="1">
        <f t="array" aca="1" ref="D419" ca="1">INDEX(Products[Product ID],RANDBETWEEN(1,50))</f>
        <v>P038</v>
      </c>
      <c r="E419" t="str" cm="1">
        <f t="array" aca="1" ref="E419" ca="1">INDEX(Warehouses[Warehouse ID],RANDBETWEEN(1,8))</f>
        <v>W006</v>
      </c>
      <c r="F419">
        <f t="shared" ca="1" si="18"/>
        <v>7</v>
      </c>
      <c r="G419">
        <f ca="1">_xlfn.XLOOKUP(Orders[[#This Row],[Product ID]],Products[Product ID],Products[Selling Price])</f>
        <v>1500</v>
      </c>
      <c r="H419" s="6">
        <f t="shared" ca="1" si="19"/>
        <v>0.15</v>
      </c>
      <c r="I419">
        <f ca="1">Orders[[#This Row],[Quantity]]*Orders[[#This Row],[Unit Price]]*(1-Orders[[#This Row],[Discount%]])</f>
        <v>8925</v>
      </c>
      <c r="J419" t="str" cm="1">
        <f t="array" aca="1" ref="J419" ca="1">INDEX(PaymentMethods[Payment Method],RANDBETWEEN(1,5))</f>
        <v>Net Banking</v>
      </c>
    </row>
    <row r="420" spans="1:10" x14ac:dyDescent="0.3">
      <c r="A420" t="str">
        <f t="shared" si="20"/>
        <v>O0419</v>
      </c>
      <c r="B420" s="6">
        <f ca="1">Orders[[#This Row],[Discount%]]</f>
        <v>0</v>
      </c>
      <c r="C420" t="str" cm="1">
        <f t="array" aca="1" ref="C420" ca="1">INDEX(Customers[Customer ID],RANDBETWEEN(1,200))</f>
        <v>C048</v>
      </c>
      <c r="D420" t="str" cm="1">
        <f t="array" aca="1" ref="D420" ca="1">INDEX(Products[Product ID],RANDBETWEEN(1,50))</f>
        <v>P044</v>
      </c>
      <c r="E420" t="str" cm="1">
        <f t="array" aca="1" ref="E420" ca="1">INDEX(Warehouses[Warehouse ID],RANDBETWEEN(1,8))</f>
        <v>W008</v>
      </c>
      <c r="F420">
        <f t="shared" ca="1" si="18"/>
        <v>6</v>
      </c>
      <c r="G420">
        <f ca="1">_xlfn.XLOOKUP(Orders[[#This Row],[Product ID]],Products[Product ID],Products[Selling Price])</f>
        <v>8500</v>
      </c>
      <c r="H420" s="6">
        <f t="shared" ca="1" si="19"/>
        <v>0</v>
      </c>
      <c r="I420">
        <f ca="1">Orders[[#This Row],[Quantity]]*Orders[[#This Row],[Unit Price]]*(1-Orders[[#This Row],[Discount%]])</f>
        <v>51000</v>
      </c>
      <c r="J420" t="str" cm="1">
        <f t="array" aca="1" ref="J420" ca="1">INDEX(PaymentMethods[Payment Method],RANDBETWEEN(1,5))</f>
        <v>Cash</v>
      </c>
    </row>
    <row r="421" spans="1:10" x14ac:dyDescent="0.3">
      <c r="A421" t="str">
        <f t="shared" si="20"/>
        <v>O0420</v>
      </c>
      <c r="B421" s="6">
        <f ca="1">Orders[[#This Row],[Discount%]]</f>
        <v>0.11</v>
      </c>
      <c r="C421" t="str" cm="1">
        <f t="array" aca="1" ref="C421" ca="1">INDEX(Customers[Customer ID],RANDBETWEEN(1,200))</f>
        <v>C177</v>
      </c>
      <c r="D421" t="str" cm="1">
        <f t="array" aca="1" ref="D421" ca="1">INDEX(Products[Product ID],RANDBETWEEN(1,50))</f>
        <v>P030</v>
      </c>
      <c r="E421" t="str" cm="1">
        <f t="array" aca="1" ref="E421" ca="1">INDEX(Warehouses[Warehouse ID],RANDBETWEEN(1,8))</f>
        <v>W004</v>
      </c>
      <c r="F421">
        <f t="shared" ca="1" si="18"/>
        <v>6</v>
      </c>
      <c r="G421">
        <f ca="1">_xlfn.XLOOKUP(Orders[[#This Row],[Product ID]],Products[Product ID],Products[Selling Price])</f>
        <v>4800</v>
      </c>
      <c r="H421" s="6">
        <f t="shared" ca="1" si="19"/>
        <v>0.11</v>
      </c>
      <c r="I421">
        <f ca="1">Orders[[#This Row],[Quantity]]*Orders[[#This Row],[Unit Price]]*(1-Orders[[#This Row],[Discount%]])</f>
        <v>25632</v>
      </c>
      <c r="J421" t="str" cm="1">
        <f t="array" aca="1" ref="J421" ca="1">INDEX(PaymentMethods[Payment Method],RANDBETWEEN(1,5))</f>
        <v>Debit Card</v>
      </c>
    </row>
    <row r="422" spans="1:10" x14ac:dyDescent="0.3">
      <c r="A422" t="str">
        <f t="shared" si="20"/>
        <v>O0421</v>
      </c>
      <c r="B422" s="6">
        <f ca="1">Orders[[#This Row],[Discount%]]</f>
        <v>0</v>
      </c>
      <c r="C422" t="str" cm="1">
        <f t="array" aca="1" ref="C422" ca="1">INDEX(Customers[Customer ID],RANDBETWEEN(1,200))</f>
        <v>C116</v>
      </c>
      <c r="D422" t="str" cm="1">
        <f t="array" aca="1" ref="D422" ca="1">INDEX(Products[Product ID],RANDBETWEEN(1,50))</f>
        <v>P048</v>
      </c>
      <c r="E422" t="str" cm="1">
        <f t="array" aca="1" ref="E422" ca="1">INDEX(Warehouses[Warehouse ID],RANDBETWEEN(1,8))</f>
        <v>W006</v>
      </c>
      <c r="F422">
        <f t="shared" ca="1" si="18"/>
        <v>4</v>
      </c>
      <c r="G422">
        <f ca="1">_xlfn.XLOOKUP(Orders[[#This Row],[Product ID]],Products[Product ID],Products[Selling Price])</f>
        <v>1200</v>
      </c>
      <c r="H422" s="6">
        <f t="shared" ca="1" si="19"/>
        <v>0</v>
      </c>
      <c r="I422">
        <f ca="1">Orders[[#This Row],[Quantity]]*Orders[[#This Row],[Unit Price]]*(1-Orders[[#This Row],[Discount%]])</f>
        <v>4800</v>
      </c>
      <c r="J422" t="str" cm="1">
        <f t="array" aca="1" ref="J422" ca="1">INDEX(PaymentMethods[Payment Method],RANDBETWEEN(1,5))</f>
        <v>Credit Card</v>
      </c>
    </row>
    <row r="423" spans="1:10" x14ac:dyDescent="0.3">
      <c r="A423" t="str">
        <f t="shared" si="20"/>
        <v>O0422</v>
      </c>
      <c r="B423" s="6">
        <f ca="1">Orders[[#This Row],[Discount%]]</f>
        <v>0.16</v>
      </c>
      <c r="C423" t="str" cm="1">
        <f t="array" aca="1" ref="C423" ca="1">INDEX(Customers[Customer ID],RANDBETWEEN(1,200))</f>
        <v>C107</v>
      </c>
      <c r="D423" t="str" cm="1">
        <f t="array" aca="1" ref="D423" ca="1">INDEX(Products[Product ID],RANDBETWEEN(1,50))</f>
        <v>P048</v>
      </c>
      <c r="E423" t="str" cm="1">
        <f t="array" aca="1" ref="E423" ca="1">INDEX(Warehouses[Warehouse ID],RANDBETWEEN(1,8))</f>
        <v>W004</v>
      </c>
      <c r="F423">
        <f t="shared" ca="1" si="18"/>
        <v>6</v>
      </c>
      <c r="G423">
        <f ca="1">_xlfn.XLOOKUP(Orders[[#This Row],[Product ID]],Products[Product ID],Products[Selling Price])</f>
        <v>1200</v>
      </c>
      <c r="H423" s="6">
        <f t="shared" ca="1" si="19"/>
        <v>0.16</v>
      </c>
      <c r="I423">
        <f ca="1">Orders[[#This Row],[Quantity]]*Orders[[#This Row],[Unit Price]]*(1-Orders[[#This Row],[Discount%]])</f>
        <v>6048</v>
      </c>
      <c r="J423" t="str" cm="1">
        <f t="array" aca="1" ref="J423" ca="1">INDEX(PaymentMethods[Payment Method],RANDBETWEEN(1,5))</f>
        <v>Credit Card</v>
      </c>
    </row>
    <row r="424" spans="1:10" x14ac:dyDescent="0.3">
      <c r="A424" t="str">
        <f t="shared" si="20"/>
        <v>O0423</v>
      </c>
      <c r="B424" s="6">
        <f ca="1">Orders[[#This Row],[Discount%]]</f>
        <v>0.01</v>
      </c>
      <c r="C424" t="str" cm="1">
        <f t="array" aca="1" ref="C424" ca="1">INDEX(Customers[Customer ID],RANDBETWEEN(1,200))</f>
        <v>C026</v>
      </c>
      <c r="D424" t="str" cm="1">
        <f t="array" aca="1" ref="D424" ca="1">INDEX(Products[Product ID],RANDBETWEEN(1,50))</f>
        <v>P012</v>
      </c>
      <c r="E424" t="str" cm="1">
        <f t="array" aca="1" ref="E424" ca="1">INDEX(Warehouses[Warehouse ID],RANDBETWEEN(1,8))</f>
        <v>W006</v>
      </c>
      <c r="F424">
        <f t="shared" ca="1" si="18"/>
        <v>9</v>
      </c>
      <c r="G424">
        <f ca="1">_xlfn.XLOOKUP(Orders[[#This Row],[Product ID]],Products[Product ID],Products[Selling Price])</f>
        <v>80</v>
      </c>
      <c r="H424" s="6">
        <f t="shared" ca="1" si="19"/>
        <v>0.01</v>
      </c>
      <c r="I424">
        <f ca="1">Orders[[#This Row],[Quantity]]*Orders[[#This Row],[Unit Price]]*(1-Orders[[#This Row],[Discount%]])</f>
        <v>712.8</v>
      </c>
      <c r="J424" t="str" cm="1">
        <f t="array" aca="1" ref="J424" ca="1">INDEX(PaymentMethods[Payment Method],RANDBETWEEN(1,5))</f>
        <v>Net Banking</v>
      </c>
    </row>
    <row r="425" spans="1:10" x14ac:dyDescent="0.3">
      <c r="A425" t="str">
        <f t="shared" si="20"/>
        <v>O0424</v>
      </c>
      <c r="B425" s="6">
        <f ca="1">Orders[[#This Row],[Discount%]]</f>
        <v>0.05</v>
      </c>
      <c r="C425" t="str" cm="1">
        <f t="array" aca="1" ref="C425" ca="1">INDEX(Customers[Customer ID],RANDBETWEEN(1,200))</f>
        <v>C085</v>
      </c>
      <c r="D425" t="str" cm="1">
        <f t="array" aca="1" ref="D425" ca="1">INDEX(Products[Product ID],RANDBETWEEN(1,50))</f>
        <v>P044</v>
      </c>
      <c r="E425" t="str" cm="1">
        <f t="array" aca="1" ref="E425" ca="1">INDEX(Warehouses[Warehouse ID],RANDBETWEEN(1,8))</f>
        <v>W008</v>
      </c>
      <c r="F425">
        <f t="shared" ca="1" si="18"/>
        <v>1</v>
      </c>
      <c r="G425">
        <f ca="1">_xlfn.XLOOKUP(Orders[[#This Row],[Product ID]],Products[Product ID],Products[Selling Price])</f>
        <v>8500</v>
      </c>
      <c r="H425" s="6">
        <f t="shared" ca="1" si="19"/>
        <v>0.05</v>
      </c>
      <c r="I425">
        <f ca="1">Orders[[#This Row],[Quantity]]*Orders[[#This Row],[Unit Price]]*(1-Orders[[#This Row],[Discount%]])</f>
        <v>8075</v>
      </c>
      <c r="J425" t="str" cm="1">
        <f t="array" aca="1" ref="J425" ca="1">INDEX(PaymentMethods[Payment Method],RANDBETWEEN(1,5))</f>
        <v>Credit Card</v>
      </c>
    </row>
    <row r="426" spans="1:10" x14ac:dyDescent="0.3">
      <c r="A426" t="str">
        <f t="shared" si="20"/>
        <v>O0425</v>
      </c>
      <c r="B426" s="6">
        <f ca="1">Orders[[#This Row],[Discount%]]</f>
        <v>0.13</v>
      </c>
      <c r="C426" t="str" cm="1">
        <f t="array" aca="1" ref="C426" ca="1">INDEX(Customers[Customer ID],RANDBETWEEN(1,200))</f>
        <v>C104</v>
      </c>
      <c r="D426" t="str" cm="1">
        <f t="array" aca="1" ref="D426" ca="1">INDEX(Products[Product ID],RANDBETWEEN(1,50))</f>
        <v>P013</v>
      </c>
      <c r="E426" t="str" cm="1">
        <f t="array" aca="1" ref="E426" ca="1">INDEX(Warehouses[Warehouse ID],RANDBETWEEN(1,8))</f>
        <v>W004</v>
      </c>
      <c r="F426">
        <f t="shared" ca="1" si="18"/>
        <v>5</v>
      </c>
      <c r="G426">
        <f ca="1">_xlfn.XLOOKUP(Orders[[#This Row],[Product ID]],Products[Product ID],Products[Selling Price])</f>
        <v>25</v>
      </c>
      <c r="H426" s="6">
        <f t="shared" ca="1" si="19"/>
        <v>0.13</v>
      </c>
      <c r="I426">
        <f ca="1">Orders[[#This Row],[Quantity]]*Orders[[#This Row],[Unit Price]]*(1-Orders[[#This Row],[Discount%]])</f>
        <v>108.75</v>
      </c>
      <c r="J426" t="str" cm="1">
        <f t="array" aca="1" ref="J426" ca="1">INDEX(PaymentMethods[Payment Method],RANDBETWEEN(1,5))</f>
        <v>Net Banking</v>
      </c>
    </row>
    <row r="427" spans="1:10" x14ac:dyDescent="0.3">
      <c r="A427" t="str">
        <f t="shared" si="20"/>
        <v>O0426</v>
      </c>
      <c r="B427" s="6">
        <f ca="1">Orders[[#This Row],[Discount%]]</f>
        <v>0.18</v>
      </c>
      <c r="C427" t="str" cm="1">
        <f t="array" aca="1" ref="C427" ca="1">INDEX(Customers[Customer ID],RANDBETWEEN(1,200))</f>
        <v>C152</v>
      </c>
      <c r="D427" t="str" cm="1">
        <f t="array" aca="1" ref="D427" ca="1">INDEX(Products[Product ID],RANDBETWEEN(1,50))</f>
        <v>P033</v>
      </c>
      <c r="E427" t="str" cm="1">
        <f t="array" aca="1" ref="E427" ca="1">INDEX(Warehouses[Warehouse ID],RANDBETWEEN(1,8))</f>
        <v>W007</v>
      </c>
      <c r="F427">
        <f t="shared" ca="1" si="18"/>
        <v>6</v>
      </c>
      <c r="G427">
        <f ca="1">_xlfn.XLOOKUP(Orders[[#This Row],[Product ID]],Products[Product ID],Products[Selling Price])</f>
        <v>180</v>
      </c>
      <c r="H427" s="6">
        <f t="shared" ca="1" si="19"/>
        <v>0.18</v>
      </c>
      <c r="I427">
        <f ca="1">Orders[[#This Row],[Quantity]]*Orders[[#This Row],[Unit Price]]*(1-Orders[[#This Row],[Discount%]])</f>
        <v>885.6</v>
      </c>
      <c r="J427" t="str" cm="1">
        <f t="array" aca="1" ref="J427" ca="1">INDEX(PaymentMethods[Payment Method],RANDBETWEEN(1,5))</f>
        <v>Credit Card</v>
      </c>
    </row>
    <row r="428" spans="1:10" x14ac:dyDescent="0.3">
      <c r="A428" t="str">
        <f t="shared" si="20"/>
        <v>O0427</v>
      </c>
      <c r="B428" s="6">
        <f ca="1">Orders[[#This Row],[Discount%]]</f>
        <v>0.17</v>
      </c>
      <c r="C428" t="str" cm="1">
        <f t="array" aca="1" ref="C428" ca="1">INDEX(Customers[Customer ID],RANDBETWEEN(1,200))</f>
        <v>C098</v>
      </c>
      <c r="D428" t="str" cm="1">
        <f t="array" aca="1" ref="D428" ca="1">INDEX(Products[Product ID],RANDBETWEEN(1,50))</f>
        <v>P033</v>
      </c>
      <c r="E428" t="str" cm="1">
        <f t="array" aca="1" ref="E428" ca="1">INDEX(Warehouses[Warehouse ID],RANDBETWEEN(1,8))</f>
        <v>W002</v>
      </c>
      <c r="F428">
        <f t="shared" ca="1" si="18"/>
        <v>9</v>
      </c>
      <c r="G428">
        <f ca="1">_xlfn.XLOOKUP(Orders[[#This Row],[Product ID]],Products[Product ID],Products[Selling Price])</f>
        <v>180</v>
      </c>
      <c r="H428" s="6">
        <f t="shared" ca="1" si="19"/>
        <v>0.17</v>
      </c>
      <c r="I428">
        <f ca="1">Orders[[#This Row],[Quantity]]*Orders[[#This Row],[Unit Price]]*(1-Orders[[#This Row],[Discount%]])</f>
        <v>1344.6</v>
      </c>
      <c r="J428" t="str" cm="1">
        <f t="array" aca="1" ref="J428" ca="1">INDEX(PaymentMethods[Payment Method],RANDBETWEEN(1,5))</f>
        <v>Cash</v>
      </c>
    </row>
    <row r="429" spans="1:10" x14ac:dyDescent="0.3">
      <c r="A429" t="str">
        <f t="shared" si="20"/>
        <v>O0428</v>
      </c>
      <c r="B429" s="6">
        <f ca="1">Orders[[#This Row],[Discount%]]</f>
        <v>0.13</v>
      </c>
      <c r="C429" t="str" cm="1">
        <f t="array" aca="1" ref="C429" ca="1">INDEX(Customers[Customer ID],RANDBETWEEN(1,200))</f>
        <v>C075</v>
      </c>
      <c r="D429" t="str" cm="1">
        <f t="array" aca="1" ref="D429" ca="1">INDEX(Products[Product ID],RANDBETWEEN(1,50))</f>
        <v>P006</v>
      </c>
      <c r="E429" t="str" cm="1">
        <f t="array" aca="1" ref="E429" ca="1">INDEX(Warehouses[Warehouse ID],RANDBETWEEN(1,8))</f>
        <v>W006</v>
      </c>
      <c r="F429">
        <f t="shared" ca="1" si="18"/>
        <v>9</v>
      </c>
      <c r="G429">
        <f ca="1">_xlfn.XLOOKUP(Orders[[#This Row],[Product ID]],Products[Product ID],Products[Selling Price])</f>
        <v>3500</v>
      </c>
      <c r="H429" s="6">
        <f t="shared" ca="1" si="19"/>
        <v>0.13</v>
      </c>
      <c r="I429">
        <f ca="1">Orders[[#This Row],[Quantity]]*Orders[[#This Row],[Unit Price]]*(1-Orders[[#This Row],[Discount%]])</f>
        <v>27405</v>
      </c>
      <c r="J429" t="str" cm="1">
        <f t="array" aca="1" ref="J429" ca="1">INDEX(PaymentMethods[Payment Method],RANDBETWEEN(1,5))</f>
        <v>UPI</v>
      </c>
    </row>
    <row r="430" spans="1:10" x14ac:dyDescent="0.3">
      <c r="A430" t="str">
        <f t="shared" si="20"/>
        <v>O0429</v>
      </c>
      <c r="B430" s="6">
        <f ca="1">Orders[[#This Row],[Discount%]]</f>
        <v>0.17</v>
      </c>
      <c r="C430" t="str" cm="1">
        <f t="array" aca="1" ref="C430" ca="1">INDEX(Customers[Customer ID],RANDBETWEEN(1,200))</f>
        <v>C083</v>
      </c>
      <c r="D430" t="str" cm="1">
        <f t="array" aca="1" ref="D430" ca="1">INDEX(Products[Product ID],RANDBETWEEN(1,50))</f>
        <v>P005</v>
      </c>
      <c r="E430" t="str" cm="1">
        <f t="array" aca="1" ref="E430" ca="1">INDEX(Warehouses[Warehouse ID],RANDBETWEEN(1,8))</f>
        <v>W006</v>
      </c>
      <c r="F430">
        <f t="shared" ca="1" si="18"/>
        <v>4</v>
      </c>
      <c r="G430">
        <f ca="1">_xlfn.XLOOKUP(Orders[[#This Row],[Product ID]],Products[Product ID],Products[Selling Price])</f>
        <v>10500</v>
      </c>
      <c r="H430" s="6">
        <f t="shared" ca="1" si="19"/>
        <v>0.17</v>
      </c>
      <c r="I430">
        <f ca="1">Orders[[#This Row],[Quantity]]*Orders[[#This Row],[Unit Price]]*(1-Orders[[#This Row],[Discount%]])</f>
        <v>34860</v>
      </c>
      <c r="J430" t="str" cm="1">
        <f t="array" aca="1" ref="J430" ca="1">INDEX(PaymentMethods[Payment Method],RANDBETWEEN(1,5))</f>
        <v>Net Banking</v>
      </c>
    </row>
    <row r="431" spans="1:10" x14ac:dyDescent="0.3">
      <c r="A431" t="str">
        <f t="shared" si="20"/>
        <v>O0430</v>
      </c>
      <c r="B431" s="6">
        <f ca="1">Orders[[#This Row],[Discount%]]</f>
        <v>0.12</v>
      </c>
      <c r="C431" t="str" cm="1">
        <f t="array" aca="1" ref="C431" ca="1">INDEX(Customers[Customer ID],RANDBETWEEN(1,200))</f>
        <v>C112</v>
      </c>
      <c r="D431" t="str" cm="1">
        <f t="array" aca="1" ref="D431" ca="1">INDEX(Products[Product ID],RANDBETWEEN(1,50))</f>
        <v>P001</v>
      </c>
      <c r="E431" t="str" cm="1">
        <f t="array" aca="1" ref="E431" ca="1">INDEX(Warehouses[Warehouse ID],RANDBETWEEN(1,8))</f>
        <v>W002</v>
      </c>
      <c r="F431">
        <f t="shared" ca="1" si="18"/>
        <v>8</v>
      </c>
      <c r="G431">
        <f ca="1">_xlfn.XLOOKUP(Orders[[#This Row],[Product ID]],Products[Product ID],Products[Selling Price])</f>
        <v>42000</v>
      </c>
      <c r="H431" s="6">
        <f t="shared" ca="1" si="19"/>
        <v>0.12</v>
      </c>
      <c r="I431">
        <f ca="1">Orders[[#This Row],[Quantity]]*Orders[[#This Row],[Unit Price]]*(1-Orders[[#This Row],[Discount%]])</f>
        <v>295680</v>
      </c>
      <c r="J431" t="str" cm="1">
        <f t="array" aca="1" ref="J431" ca="1">INDEX(PaymentMethods[Payment Method],RANDBETWEEN(1,5))</f>
        <v>UPI</v>
      </c>
    </row>
    <row r="432" spans="1:10" x14ac:dyDescent="0.3">
      <c r="A432" t="str">
        <f t="shared" si="20"/>
        <v>O0431</v>
      </c>
      <c r="B432" s="6">
        <f ca="1">Orders[[#This Row],[Discount%]]</f>
        <v>0.18</v>
      </c>
      <c r="C432" t="str" cm="1">
        <f t="array" aca="1" ref="C432" ca="1">INDEX(Customers[Customer ID],RANDBETWEEN(1,200))</f>
        <v>C047</v>
      </c>
      <c r="D432" t="str" cm="1">
        <f t="array" aca="1" ref="D432" ca="1">INDEX(Products[Product ID],RANDBETWEEN(1,50))</f>
        <v>P036</v>
      </c>
      <c r="E432" t="str" cm="1">
        <f t="array" aca="1" ref="E432" ca="1">INDEX(Warehouses[Warehouse ID],RANDBETWEEN(1,8))</f>
        <v>W001</v>
      </c>
      <c r="F432">
        <f t="shared" ca="1" si="18"/>
        <v>1</v>
      </c>
      <c r="G432">
        <f ca="1">_xlfn.XLOOKUP(Orders[[#This Row],[Product ID]],Products[Product ID],Products[Selling Price])</f>
        <v>450</v>
      </c>
      <c r="H432" s="6">
        <f t="shared" ca="1" si="19"/>
        <v>0.18</v>
      </c>
      <c r="I432">
        <f ca="1">Orders[[#This Row],[Quantity]]*Orders[[#This Row],[Unit Price]]*(1-Orders[[#This Row],[Discount%]])</f>
        <v>369</v>
      </c>
      <c r="J432" t="str" cm="1">
        <f t="array" aca="1" ref="J432" ca="1">INDEX(PaymentMethods[Payment Method],RANDBETWEEN(1,5))</f>
        <v>Cash</v>
      </c>
    </row>
    <row r="433" spans="1:10" x14ac:dyDescent="0.3">
      <c r="A433" t="str">
        <f t="shared" si="20"/>
        <v>O0432</v>
      </c>
      <c r="B433" s="6">
        <f ca="1">Orders[[#This Row],[Discount%]]</f>
        <v>0.12</v>
      </c>
      <c r="C433" t="str" cm="1">
        <f t="array" aca="1" ref="C433" ca="1">INDEX(Customers[Customer ID],RANDBETWEEN(1,200))</f>
        <v>C055</v>
      </c>
      <c r="D433" t="str" cm="1">
        <f t="array" aca="1" ref="D433" ca="1">INDEX(Products[Product ID],RANDBETWEEN(1,50))</f>
        <v>P022</v>
      </c>
      <c r="E433" t="str" cm="1">
        <f t="array" aca="1" ref="E433" ca="1">INDEX(Warehouses[Warehouse ID],RANDBETWEEN(1,8))</f>
        <v>W002</v>
      </c>
      <c r="F433">
        <f t="shared" ca="1" si="18"/>
        <v>4</v>
      </c>
      <c r="G433">
        <f ca="1">_xlfn.XLOOKUP(Orders[[#This Row],[Product ID]],Products[Product ID],Products[Selling Price])</f>
        <v>5000</v>
      </c>
      <c r="H433" s="6">
        <f t="shared" ca="1" si="19"/>
        <v>0.12</v>
      </c>
      <c r="I433">
        <f ca="1">Orders[[#This Row],[Quantity]]*Orders[[#This Row],[Unit Price]]*(1-Orders[[#This Row],[Discount%]])</f>
        <v>17600</v>
      </c>
      <c r="J433" t="str" cm="1">
        <f t="array" aca="1" ref="J433" ca="1">INDEX(PaymentMethods[Payment Method],RANDBETWEEN(1,5))</f>
        <v>Net Banking</v>
      </c>
    </row>
    <row r="434" spans="1:10" x14ac:dyDescent="0.3">
      <c r="A434" t="str">
        <f t="shared" si="20"/>
        <v>O0433</v>
      </c>
      <c r="B434" s="6">
        <f ca="1">Orders[[#This Row],[Discount%]]</f>
        <v>0.09</v>
      </c>
      <c r="C434" t="str" cm="1">
        <f t="array" aca="1" ref="C434" ca="1">INDEX(Customers[Customer ID],RANDBETWEEN(1,200))</f>
        <v>C155</v>
      </c>
      <c r="D434" t="str" cm="1">
        <f t="array" aca="1" ref="D434" ca="1">INDEX(Products[Product ID],RANDBETWEEN(1,50))</f>
        <v>P008</v>
      </c>
      <c r="E434" t="str" cm="1">
        <f t="array" aca="1" ref="E434" ca="1">INDEX(Warehouses[Warehouse ID],RANDBETWEEN(1,8))</f>
        <v>W005</v>
      </c>
      <c r="F434">
        <f t="shared" ca="1" si="18"/>
        <v>2</v>
      </c>
      <c r="G434">
        <f ca="1">_xlfn.XLOOKUP(Orders[[#This Row],[Product ID]],Products[Product ID],Products[Selling Price])</f>
        <v>4200</v>
      </c>
      <c r="H434" s="6">
        <f t="shared" ca="1" si="19"/>
        <v>0.09</v>
      </c>
      <c r="I434">
        <f ca="1">Orders[[#This Row],[Quantity]]*Orders[[#This Row],[Unit Price]]*(1-Orders[[#This Row],[Discount%]])</f>
        <v>7644</v>
      </c>
      <c r="J434" t="str" cm="1">
        <f t="array" aca="1" ref="J434" ca="1">INDEX(PaymentMethods[Payment Method],RANDBETWEEN(1,5))</f>
        <v>UPI</v>
      </c>
    </row>
    <row r="435" spans="1:10" x14ac:dyDescent="0.3">
      <c r="A435" t="str">
        <f t="shared" si="20"/>
        <v>O0434</v>
      </c>
      <c r="B435" s="6">
        <f ca="1">Orders[[#This Row],[Discount%]]</f>
        <v>0.04</v>
      </c>
      <c r="C435" t="str" cm="1">
        <f t="array" aca="1" ref="C435" ca="1">INDEX(Customers[Customer ID],RANDBETWEEN(1,200))</f>
        <v>C182</v>
      </c>
      <c r="D435" t="str" cm="1">
        <f t="array" aca="1" ref="D435" ca="1">INDEX(Products[Product ID],RANDBETWEEN(1,50))</f>
        <v>P004</v>
      </c>
      <c r="E435" t="str" cm="1">
        <f t="array" aca="1" ref="E435" ca="1">INDEX(Warehouses[Warehouse ID],RANDBETWEEN(1,8))</f>
        <v>W005</v>
      </c>
      <c r="F435">
        <f t="shared" ca="1" si="18"/>
        <v>1</v>
      </c>
      <c r="G435">
        <f ca="1">_xlfn.XLOOKUP(Orders[[#This Row],[Product ID]],Products[Product ID],Products[Selling Price])</f>
        <v>9000</v>
      </c>
      <c r="H435" s="6">
        <f t="shared" ca="1" si="19"/>
        <v>0.04</v>
      </c>
      <c r="I435">
        <f ca="1">Orders[[#This Row],[Quantity]]*Orders[[#This Row],[Unit Price]]*(1-Orders[[#This Row],[Discount%]])</f>
        <v>8640</v>
      </c>
      <c r="J435" t="str" cm="1">
        <f t="array" aca="1" ref="J435" ca="1">INDEX(PaymentMethods[Payment Method],RANDBETWEEN(1,5))</f>
        <v>Net Banking</v>
      </c>
    </row>
    <row r="436" spans="1:10" x14ac:dyDescent="0.3">
      <c r="A436" t="str">
        <f t="shared" si="20"/>
        <v>O0435</v>
      </c>
      <c r="B436" s="6">
        <f ca="1">Orders[[#This Row],[Discount%]]</f>
        <v>0.02</v>
      </c>
      <c r="C436" t="str" cm="1">
        <f t="array" aca="1" ref="C436" ca="1">INDEX(Customers[Customer ID],RANDBETWEEN(1,200))</f>
        <v>C037</v>
      </c>
      <c r="D436" t="str" cm="1">
        <f t="array" aca="1" ref="D436" ca="1">INDEX(Products[Product ID],RANDBETWEEN(1,50))</f>
        <v>P015</v>
      </c>
      <c r="E436" t="str" cm="1">
        <f t="array" aca="1" ref="E436" ca="1">INDEX(Warehouses[Warehouse ID],RANDBETWEEN(1,8))</f>
        <v>W001</v>
      </c>
      <c r="F436">
        <f t="shared" ca="1" si="18"/>
        <v>9</v>
      </c>
      <c r="G436">
        <f ca="1">_xlfn.XLOOKUP(Orders[[#This Row],[Product ID]],Products[Product ID],Products[Selling Price])</f>
        <v>1800</v>
      </c>
      <c r="H436" s="6">
        <f t="shared" ca="1" si="19"/>
        <v>0.02</v>
      </c>
      <c r="I436">
        <f ca="1">Orders[[#This Row],[Quantity]]*Orders[[#This Row],[Unit Price]]*(1-Orders[[#This Row],[Discount%]])</f>
        <v>15876</v>
      </c>
      <c r="J436" t="str" cm="1">
        <f t="array" aca="1" ref="J436" ca="1">INDEX(PaymentMethods[Payment Method],RANDBETWEEN(1,5))</f>
        <v>Net Banking</v>
      </c>
    </row>
    <row r="437" spans="1:10" x14ac:dyDescent="0.3">
      <c r="A437" t="str">
        <f t="shared" si="20"/>
        <v>O0436</v>
      </c>
      <c r="B437" s="6">
        <f ca="1">Orders[[#This Row],[Discount%]]</f>
        <v>0.01</v>
      </c>
      <c r="C437" t="str" cm="1">
        <f t="array" aca="1" ref="C437" ca="1">INDEX(Customers[Customer ID],RANDBETWEEN(1,200))</f>
        <v>C043</v>
      </c>
      <c r="D437" t="str" cm="1">
        <f t="array" aca="1" ref="D437" ca="1">INDEX(Products[Product ID],RANDBETWEEN(1,50))</f>
        <v>P040</v>
      </c>
      <c r="E437" t="str" cm="1">
        <f t="array" aca="1" ref="E437" ca="1">INDEX(Warehouses[Warehouse ID],RANDBETWEEN(1,8))</f>
        <v>W008</v>
      </c>
      <c r="F437">
        <f t="shared" ca="1" si="18"/>
        <v>1</v>
      </c>
      <c r="G437">
        <f ca="1">_xlfn.XLOOKUP(Orders[[#This Row],[Product ID]],Products[Product ID],Products[Selling Price])</f>
        <v>180</v>
      </c>
      <c r="H437" s="6">
        <f t="shared" ca="1" si="19"/>
        <v>0.01</v>
      </c>
      <c r="I437">
        <f ca="1">Orders[[#This Row],[Quantity]]*Orders[[#This Row],[Unit Price]]*(1-Orders[[#This Row],[Discount%]])</f>
        <v>178.2</v>
      </c>
      <c r="J437" t="str" cm="1">
        <f t="array" aca="1" ref="J437" ca="1">INDEX(PaymentMethods[Payment Method],RANDBETWEEN(1,5))</f>
        <v>Credit Card</v>
      </c>
    </row>
    <row r="438" spans="1:10" x14ac:dyDescent="0.3">
      <c r="A438" t="str">
        <f t="shared" si="20"/>
        <v>O0437</v>
      </c>
      <c r="B438" s="6">
        <f ca="1">Orders[[#This Row],[Discount%]]</f>
        <v>0.2</v>
      </c>
      <c r="C438" t="str" cm="1">
        <f t="array" aca="1" ref="C438" ca="1">INDEX(Customers[Customer ID],RANDBETWEEN(1,200))</f>
        <v>C109</v>
      </c>
      <c r="D438" t="str" cm="1">
        <f t="array" aca="1" ref="D438" ca="1">INDEX(Products[Product ID],RANDBETWEEN(1,50))</f>
        <v>P032</v>
      </c>
      <c r="E438" t="str" cm="1">
        <f t="array" aca="1" ref="E438" ca="1">INDEX(Warehouses[Warehouse ID],RANDBETWEEN(1,8))</f>
        <v>W002</v>
      </c>
      <c r="F438">
        <f t="shared" ca="1" si="18"/>
        <v>7</v>
      </c>
      <c r="G438">
        <f ca="1">_xlfn.XLOOKUP(Orders[[#This Row],[Product ID]],Products[Product ID],Products[Selling Price])</f>
        <v>220</v>
      </c>
      <c r="H438" s="6">
        <f t="shared" ca="1" si="19"/>
        <v>0.2</v>
      </c>
      <c r="I438">
        <f ca="1">Orders[[#This Row],[Quantity]]*Orders[[#This Row],[Unit Price]]*(1-Orders[[#This Row],[Discount%]])</f>
        <v>1232</v>
      </c>
      <c r="J438" t="str" cm="1">
        <f t="array" aca="1" ref="J438" ca="1">INDEX(PaymentMethods[Payment Method],RANDBETWEEN(1,5))</f>
        <v>Cash</v>
      </c>
    </row>
    <row r="439" spans="1:10" x14ac:dyDescent="0.3">
      <c r="A439" t="str">
        <f t="shared" si="20"/>
        <v>O0438</v>
      </c>
      <c r="B439" s="6">
        <f ca="1">Orders[[#This Row],[Discount%]]</f>
        <v>0.19</v>
      </c>
      <c r="C439" t="str" cm="1">
        <f t="array" aca="1" ref="C439" ca="1">INDEX(Customers[Customer ID],RANDBETWEEN(1,200))</f>
        <v>C072</v>
      </c>
      <c r="D439" t="str" cm="1">
        <f t="array" aca="1" ref="D439" ca="1">INDEX(Products[Product ID],RANDBETWEEN(1,50))</f>
        <v>P019</v>
      </c>
      <c r="E439" t="str" cm="1">
        <f t="array" aca="1" ref="E439" ca="1">INDEX(Warehouses[Warehouse ID],RANDBETWEEN(1,8))</f>
        <v>W006</v>
      </c>
      <c r="F439">
        <f t="shared" ca="1" si="18"/>
        <v>8</v>
      </c>
      <c r="G439">
        <f ca="1">_xlfn.XLOOKUP(Orders[[#This Row],[Product ID]],Products[Product ID],Products[Selling Price])</f>
        <v>950</v>
      </c>
      <c r="H439" s="6">
        <f t="shared" ca="1" si="19"/>
        <v>0.19</v>
      </c>
      <c r="I439">
        <f ca="1">Orders[[#This Row],[Quantity]]*Orders[[#This Row],[Unit Price]]*(1-Orders[[#This Row],[Discount%]])</f>
        <v>6156</v>
      </c>
      <c r="J439" t="str" cm="1">
        <f t="array" aca="1" ref="J439" ca="1">INDEX(PaymentMethods[Payment Method],RANDBETWEEN(1,5))</f>
        <v>UPI</v>
      </c>
    </row>
    <row r="440" spans="1:10" x14ac:dyDescent="0.3">
      <c r="A440" t="str">
        <f t="shared" si="20"/>
        <v>O0439</v>
      </c>
      <c r="B440" s="6">
        <f ca="1">Orders[[#This Row],[Discount%]]</f>
        <v>0.17</v>
      </c>
      <c r="C440" t="str" cm="1">
        <f t="array" aca="1" ref="C440" ca="1">INDEX(Customers[Customer ID],RANDBETWEEN(1,200))</f>
        <v>C059</v>
      </c>
      <c r="D440" t="str" cm="1">
        <f t="array" aca="1" ref="D440" ca="1">INDEX(Products[Product ID],RANDBETWEEN(1,50))</f>
        <v>P010</v>
      </c>
      <c r="E440" t="str" cm="1">
        <f t="array" aca="1" ref="E440" ca="1">INDEX(Warehouses[Warehouse ID],RANDBETWEEN(1,8))</f>
        <v>W007</v>
      </c>
      <c r="F440">
        <f t="shared" ca="1" si="18"/>
        <v>9</v>
      </c>
      <c r="G440">
        <f ca="1">_xlfn.XLOOKUP(Orders[[#This Row],[Product ID]],Products[Product ID],Products[Selling Price])</f>
        <v>250</v>
      </c>
      <c r="H440" s="6">
        <f t="shared" ca="1" si="19"/>
        <v>0.17</v>
      </c>
      <c r="I440">
        <f ca="1">Orders[[#This Row],[Quantity]]*Orders[[#This Row],[Unit Price]]*(1-Orders[[#This Row],[Discount%]])</f>
        <v>1867.5</v>
      </c>
      <c r="J440" t="str" cm="1">
        <f t="array" aca="1" ref="J440" ca="1">INDEX(PaymentMethods[Payment Method],RANDBETWEEN(1,5))</f>
        <v>Credit Card</v>
      </c>
    </row>
    <row r="441" spans="1:10" x14ac:dyDescent="0.3">
      <c r="A441" t="str">
        <f t="shared" si="20"/>
        <v>O0440</v>
      </c>
      <c r="B441" s="6">
        <f ca="1">Orders[[#This Row],[Discount%]]</f>
        <v>0.14000000000000001</v>
      </c>
      <c r="C441" t="str" cm="1">
        <f t="array" aca="1" ref="C441" ca="1">INDEX(Customers[Customer ID],RANDBETWEEN(1,200))</f>
        <v>C142</v>
      </c>
      <c r="D441" t="str" cm="1">
        <f t="array" aca="1" ref="D441" ca="1">INDEX(Products[Product ID],RANDBETWEEN(1,50))</f>
        <v>P014</v>
      </c>
      <c r="E441" t="str" cm="1">
        <f t="array" aca="1" ref="E441" ca="1">INDEX(Warehouses[Warehouse ID],RANDBETWEEN(1,8))</f>
        <v>W005</v>
      </c>
      <c r="F441">
        <f t="shared" ca="1" si="18"/>
        <v>5</v>
      </c>
      <c r="G441">
        <f ca="1">_xlfn.XLOOKUP(Orders[[#This Row],[Product ID]],Products[Product ID],Products[Selling Price])</f>
        <v>800</v>
      </c>
      <c r="H441" s="6">
        <f t="shared" ca="1" si="19"/>
        <v>0.14000000000000001</v>
      </c>
      <c r="I441">
        <f ca="1">Orders[[#This Row],[Quantity]]*Orders[[#This Row],[Unit Price]]*(1-Orders[[#This Row],[Discount%]])</f>
        <v>3440</v>
      </c>
      <c r="J441" t="str" cm="1">
        <f t="array" aca="1" ref="J441" ca="1">INDEX(PaymentMethods[Payment Method],RANDBETWEEN(1,5))</f>
        <v>Credit Card</v>
      </c>
    </row>
    <row r="442" spans="1:10" x14ac:dyDescent="0.3">
      <c r="A442" t="str">
        <f t="shared" si="20"/>
        <v>O0441</v>
      </c>
      <c r="B442" s="6">
        <f ca="1">Orders[[#This Row],[Discount%]]</f>
        <v>0.02</v>
      </c>
      <c r="C442" t="str" cm="1">
        <f t="array" aca="1" ref="C442" ca="1">INDEX(Customers[Customer ID],RANDBETWEEN(1,200))</f>
        <v>C065</v>
      </c>
      <c r="D442" t="str" cm="1">
        <f t="array" aca="1" ref="D442" ca="1">INDEX(Products[Product ID],RANDBETWEEN(1,50))</f>
        <v>P005</v>
      </c>
      <c r="E442" t="str" cm="1">
        <f t="array" aca="1" ref="E442" ca="1">INDEX(Warehouses[Warehouse ID],RANDBETWEEN(1,8))</f>
        <v>W006</v>
      </c>
      <c r="F442">
        <f t="shared" ca="1" si="18"/>
        <v>2</v>
      </c>
      <c r="G442">
        <f ca="1">_xlfn.XLOOKUP(Orders[[#This Row],[Product ID]],Products[Product ID],Products[Selling Price])</f>
        <v>10500</v>
      </c>
      <c r="H442" s="6">
        <f t="shared" ca="1" si="19"/>
        <v>0.02</v>
      </c>
      <c r="I442">
        <f ca="1">Orders[[#This Row],[Quantity]]*Orders[[#This Row],[Unit Price]]*(1-Orders[[#This Row],[Discount%]])</f>
        <v>20580</v>
      </c>
      <c r="J442" t="str" cm="1">
        <f t="array" aca="1" ref="J442" ca="1">INDEX(PaymentMethods[Payment Method],RANDBETWEEN(1,5))</f>
        <v>Net Banking</v>
      </c>
    </row>
    <row r="443" spans="1:10" x14ac:dyDescent="0.3">
      <c r="A443" t="str">
        <f t="shared" si="20"/>
        <v>O0442</v>
      </c>
      <c r="B443" s="6">
        <f ca="1">Orders[[#This Row],[Discount%]]</f>
        <v>0.17</v>
      </c>
      <c r="C443" t="str" cm="1">
        <f t="array" aca="1" ref="C443" ca="1">INDEX(Customers[Customer ID],RANDBETWEEN(1,200))</f>
        <v>C104</v>
      </c>
      <c r="D443" t="str" cm="1">
        <f t="array" aca="1" ref="D443" ca="1">INDEX(Products[Product ID],RANDBETWEEN(1,50))</f>
        <v>P036</v>
      </c>
      <c r="E443" t="str" cm="1">
        <f t="array" aca="1" ref="E443" ca="1">INDEX(Warehouses[Warehouse ID],RANDBETWEEN(1,8))</f>
        <v>W008</v>
      </c>
      <c r="F443">
        <f t="shared" ca="1" si="18"/>
        <v>2</v>
      </c>
      <c r="G443">
        <f ca="1">_xlfn.XLOOKUP(Orders[[#This Row],[Product ID]],Products[Product ID],Products[Selling Price])</f>
        <v>450</v>
      </c>
      <c r="H443" s="6">
        <f t="shared" ca="1" si="19"/>
        <v>0.17</v>
      </c>
      <c r="I443">
        <f ca="1">Orders[[#This Row],[Quantity]]*Orders[[#This Row],[Unit Price]]*(1-Orders[[#This Row],[Discount%]])</f>
        <v>747</v>
      </c>
      <c r="J443" t="str" cm="1">
        <f t="array" aca="1" ref="J443" ca="1">INDEX(PaymentMethods[Payment Method],RANDBETWEEN(1,5))</f>
        <v>Debit Card</v>
      </c>
    </row>
    <row r="444" spans="1:10" x14ac:dyDescent="0.3">
      <c r="A444" t="str">
        <f t="shared" si="20"/>
        <v>O0443</v>
      </c>
      <c r="B444" s="6">
        <f ca="1">Orders[[#This Row],[Discount%]]</f>
        <v>0.16</v>
      </c>
      <c r="C444" t="str" cm="1">
        <f t="array" aca="1" ref="C444" ca="1">INDEX(Customers[Customer ID],RANDBETWEEN(1,200))</f>
        <v>C111</v>
      </c>
      <c r="D444" t="str" cm="1">
        <f t="array" aca="1" ref="D444" ca="1">INDEX(Products[Product ID],RANDBETWEEN(1,50))</f>
        <v>P015</v>
      </c>
      <c r="E444" t="str" cm="1">
        <f t="array" aca="1" ref="E444" ca="1">INDEX(Warehouses[Warehouse ID],RANDBETWEEN(1,8))</f>
        <v>W003</v>
      </c>
      <c r="F444">
        <f t="shared" ca="1" si="18"/>
        <v>8</v>
      </c>
      <c r="G444">
        <f ca="1">_xlfn.XLOOKUP(Orders[[#This Row],[Product ID]],Products[Product ID],Products[Selling Price])</f>
        <v>1800</v>
      </c>
      <c r="H444" s="6">
        <f t="shared" ca="1" si="19"/>
        <v>0.16</v>
      </c>
      <c r="I444">
        <f ca="1">Orders[[#This Row],[Quantity]]*Orders[[#This Row],[Unit Price]]*(1-Orders[[#This Row],[Discount%]])</f>
        <v>12096</v>
      </c>
      <c r="J444" t="str" cm="1">
        <f t="array" aca="1" ref="J444" ca="1">INDEX(PaymentMethods[Payment Method],RANDBETWEEN(1,5))</f>
        <v>Credit Card</v>
      </c>
    </row>
    <row r="445" spans="1:10" x14ac:dyDescent="0.3">
      <c r="A445" t="str">
        <f t="shared" si="20"/>
        <v>O0444</v>
      </c>
      <c r="B445" s="6">
        <f ca="1">Orders[[#This Row],[Discount%]]</f>
        <v>0.08</v>
      </c>
      <c r="C445" t="str" cm="1">
        <f t="array" aca="1" ref="C445" ca="1">INDEX(Customers[Customer ID],RANDBETWEEN(1,200))</f>
        <v>C098</v>
      </c>
      <c r="D445" t="str" cm="1">
        <f t="array" aca="1" ref="D445" ca="1">INDEX(Products[Product ID],RANDBETWEEN(1,50))</f>
        <v>P018</v>
      </c>
      <c r="E445" t="str" cm="1">
        <f t="array" aca="1" ref="E445" ca="1">INDEX(Warehouses[Warehouse ID],RANDBETWEEN(1,8))</f>
        <v>W004</v>
      </c>
      <c r="F445">
        <f t="shared" ca="1" si="18"/>
        <v>3</v>
      </c>
      <c r="G445">
        <f ca="1">_xlfn.XLOOKUP(Orders[[#This Row],[Product ID]],Products[Product ID],Products[Selling Price])</f>
        <v>1500</v>
      </c>
      <c r="H445" s="6">
        <f t="shared" ca="1" si="19"/>
        <v>0.08</v>
      </c>
      <c r="I445">
        <f ca="1">Orders[[#This Row],[Quantity]]*Orders[[#This Row],[Unit Price]]*(1-Orders[[#This Row],[Discount%]])</f>
        <v>4140</v>
      </c>
      <c r="J445" t="str" cm="1">
        <f t="array" aca="1" ref="J445" ca="1">INDEX(PaymentMethods[Payment Method],RANDBETWEEN(1,5))</f>
        <v>UPI</v>
      </c>
    </row>
    <row r="446" spans="1:10" x14ac:dyDescent="0.3">
      <c r="A446" t="str">
        <f t="shared" si="20"/>
        <v>O0445</v>
      </c>
      <c r="B446" s="6">
        <f ca="1">Orders[[#This Row],[Discount%]]</f>
        <v>0.04</v>
      </c>
      <c r="C446" t="str" cm="1">
        <f t="array" aca="1" ref="C446" ca="1">INDEX(Customers[Customer ID],RANDBETWEEN(1,200))</f>
        <v>C024</v>
      </c>
      <c r="D446" t="str" cm="1">
        <f t="array" aca="1" ref="D446" ca="1">INDEX(Products[Product ID],RANDBETWEEN(1,50))</f>
        <v>P012</v>
      </c>
      <c r="E446" t="str" cm="1">
        <f t="array" aca="1" ref="E446" ca="1">INDEX(Warehouses[Warehouse ID],RANDBETWEEN(1,8))</f>
        <v>W004</v>
      </c>
      <c r="F446">
        <f t="shared" ca="1" si="18"/>
        <v>10</v>
      </c>
      <c r="G446">
        <f ca="1">_xlfn.XLOOKUP(Orders[[#This Row],[Product ID]],Products[Product ID],Products[Selling Price])</f>
        <v>80</v>
      </c>
      <c r="H446" s="6">
        <f t="shared" ca="1" si="19"/>
        <v>0.04</v>
      </c>
      <c r="I446">
        <f ca="1">Orders[[#This Row],[Quantity]]*Orders[[#This Row],[Unit Price]]*(1-Orders[[#This Row],[Discount%]])</f>
        <v>768</v>
      </c>
      <c r="J446" t="str" cm="1">
        <f t="array" aca="1" ref="J446" ca="1">INDEX(PaymentMethods[Payment Method],RANDBETWEEN(1,5))</f>
        <v>Debit Card</v>
      </c>
    </row>
    <row r="447" spans="1:10" x14ac:dyDescent="0.3">
      <c r="A447" t="str">
        <f t="shared" si="20"/>
        <v>O0446</v>
      </c>
      <c r="B447" s="6">
        <f ca="1">Orders[[#This Row],[Discount%]]</f>
        <v>0.2</v>
      </c>
      <c r="C447" t="str" cm="1">
        <f t="array" aca="1" ref="C447" ca="1">INDEX(Customers[Customer ID],RANDBETWEEN(1,200))</f>
        <v>C064</v>
      </c>
      <c r="D447" t="str" cm="1">
        <f t="array" aca="1" ref="D447" ca="1">INDEX(Products[Product ID],RANDBETWEEN(1,50))</f>
        <v>P017</v>
      </c>
      <c r="E447" t="str" cm="1">
        <f t="array" aca="1" ref="E447" ca="1">INDEX(Warehouses[Warehouse ID],RANDBETWEEN(1,8))</f>
        <v>W006</v>
      </c>
      <c r="F447">
        <f t="shared" ca="1" si="18"/>
        <v>5</v>
      </c>
      <c r="G447">
        <f ca="1">_xlfn.XLOOKUP(Orders[[#This Row],[Product ID]],Products[Product ID],Products[Selling Price])</f>
        <v>650</v>
      </c>
      <c r="H447" s="6">
        <f t="shared" ca="1" si="19"/>
        <v>0.2</v>
      </c>
      <c r="I447">
        <f ca="1">Orders[[#This Row],[Quantity]]*Orders[[#This Row],[Unit Price]]*(1-Orders[[#This Row],[Discount%]])</f>
        <v>2600</v>
      </c>
      <c r="J447" t="str" cm="1">
        <f t="array" aca="1" ref="J447" ca="1">INDEX(PaymentMethods[Payment Method],RANDBETWEEN(1,5))</f>
        <v>Cash</v>
      </c>
    </row>
    <row r="448" spans="1:10" x14ac:dyDescent="0.3">
      <c r="A448" t="str">
        <f t="shared" si="20"/>
        <v>O0447</v>
      </c>
      <c r="B448" s="6">
        <f ca="1">Orders[[#This Row],[Discount%]]</f>
        <v>0.08</v>
      </c>
      <c r="C448" t="str" cm="1">
        <f t="array" aca="1" ref="C448" ca="1">INDEX(Customers[Customer ID],RANDBETWEEN(1,200))</f>
        <v>C007</v>
      </c>
      <c r="D448" t="str" cm="1">
        <f t="array" aca="1" ref="D448" ca="1">INDEX(Products[Product ID],RANDBETWEEN(1,50))</f>
        <v>P005</v>
      </c>
      <c r="E448" t="str" cm="1">
        <f t="array" aca="1" ref="E448" ca="1">INDEX(Warehouses[Warehouse ID],RANDBETWEEN(1,8))</f>
        <v>W007</v>
      </c>
      <c r="F448">
        <f t="shared" ca="1" si="18"/>
        <v>8</v>
      </c>
      <c r="G448">
        <f ca="1">_xlfn.XLOOKUP(Orders[[#This Row],[Product ID]],Products[Product ID],Products[Selling Price])</f>
        <v>10500</v>
      </c>
      <c r="H448" s="6">
        <f t="shared" ca="1" si="19"/>
        <v>0.08</v>
      </c>
      <c r="I448">
        <f ca="1">Orders[[#This Row],[Quantity]]*Orders[[#This Row],[Unit Price]]*(1-Orders[[#This Row],[Discount%]])</f>
        <v>77280</v>
      </c>
      <c r="J448" t="str" cm="1">
        <f t="array" aca="1" ref="J448" ca="1">INDEX(PaymentMethods[Payment Method],RANDBETWEEN(1,5))</f>
        <v>Credit Card</v>
      </c>
    </row>
    <row r="449" spans="1:10" x14ac:dyDescent="0.3">
      <c r="A449" t="str">
        <f t="shared" si="20"/>
        <v>O0448</v>
      </c>
      <c r="B449" s="6">
        <f ca="1">Orders[[#This Row],[Discount%]]</f>
        <v>0.16</v>
      </c>
      <c r="C449" t="str" cm="1">
        <f t="array" aca="1" ref="C449" ca="1">INDEX(Customers[Customer ID],RANDBETWEEN(1,200))</f>
        <v>C187</v>
      </c>
      <c r="D449" t="str" cm="1">
        <f t="array" aca="1" ref="D449" ca="1">INDEX(Products[Product ID],RANDBETWEEN(1,50))</f>
        <v>P049</v>
      </c>
      <c r="E449" t="str" cm="1">
        <f t="array" aca="1" ref="E449" ca="1">INDEX(Warehouses[Warehouse ID],RANDBETWEEN(1,8))</f>
        <v>W006</v>
      </c>
      <c r="F449">
        <f t="shared" ca="1" si="18"/>
        <v>3</v>
      </c>
      <c r="G449">
        <f ca="1">_xlfn.XLOOKUP(Orders[[#This Row],[Product ID]],Products[Product ID],Products[Selling Price])</f>
        <v>3800</v>
      </c>
      <c r="H449" s="6">
        <f t="shared" ca="1" si="19"/>
        <v>0.16</v>
      </c>
      <c r="I449">
        <f ca="1">Orders[[#This Row],[Quantity]]*Orders[[#This Row],[Unit Price]]*(1-Orders[[#This Row],[Discount%]])</f>
        <v>9576</v>
      </c>
      <c r="J449" t="str" cm="1">
        <f t="array" aca="1" ref="J449" ca="1">INDEX(PaymentMethods[Payment Method],RANDBETWEEN(1,5))</f>
        <v>Cash</v>
      </c>
    </row>
    <row r="450" spans="1:10" x14ac:dyDescent="0.3">
      <c r="A450" t="str">
        <f t="shared" si="20"/>
        <v>O0449</v>
      </c>
      <c r="B450" s="6">
        <f ca="1">Orders[[#This Row],[Discount%]]</f>
        <v>0.17</v>
      </c>
      <c r="C450" t="str" cm="1">
        <f t="array" aca="1" ref="C450" ca="1">INDEX(Customers[Customer ID],RANDBETWEEN(1,200))</f>
        <v>C131</v>
      </c>
      <c r="D450" t="str" cm="1">
        <f t="array" aca="1" ref="D450" ca="1">INDEX(Products[Product ID],RANDBETWEEN(1,50))</f>
        <v>P012</v>
      </c>
      <c r="E450" t="str" cm="1">
        <f t="array" aca="1" ref="E450" ca="1">INDEX(Warehouses[Warehouse ID],RANDBETWEEN(1,8))</f>
        <v>W008</v>
      </c>
      <c r="F450">
        <f t="shared" ref="F450:F513" ca="1" si="21">RANDBETWEEN(1,10)</f>
        <v>9</v>
      </c>
      <c r="G450">
        <f ca="1">_xlfn.XLOOKUP(Orders[[#This Row],[Product ID]],Products[Product ID],Products[Selling Price])</f>
        <v>80</v>
      </c>
      <c r="H450" s="6">
        <f t="shared" ref="H450:H513" ca="1" si="22">RANDBETWEEN(0,20)/100</f>
        <v>0.17</v>
      </c>
      <c r="I450">
        <f ca="1">Orders[[#This Row],[Quantity]]*Orders[[#This Row],[Unit Price]]*(1-Orders[[#This Row],[Discount%]])</f>
        <v>597.6</v>
      </c>
      <c r="J450" t="str" cm="1">
        <f t="array" aca="1" ref="J450" ca="1">INDEX(PaymentMethods[Payment Method],RANDBETWEEN(1,5))</f>
        <v>Net Banking</v>
      </c>
    </row>
    <row r="451" spans="1:10" x14ac:dyDescent="0.3">
      <c r="A451" t="str">
        <f t="shared" ref="A451:A514" si="23">"O"&amp;TEXT(ROW()-1,"0000")</f>
        <v>O0450</v>
      </c>
      <c r="B451" s="6">
        <f ca="1">Orders[[#This Row],[Discount%]]</f>
        <v>0.01</v>
      </c>
      <c r="C451" t="str" cm="1">
        <f t="array" aca="1" ref="C451" ca="1">INDEX(Customers[Customer ID],RANDBETWEEN(1,200))</f>
        <v>C035</v>
      </c>
      <c r="D451" t="str" cm="1">
        <f t="array" aca="1" ref="D451" ca="1">INDEX(Products[Product ID],RANDBETWEEN(1,50))</f>
        <v>P039</v>
      </c>
      <c r="E451" t="str" cm="1">
        <f t="array" aca="1" ref="E451" ca="1">INDEX(Warehouses[Warehouse ID],RANDBETWEEN(1,8))</f>
        <v>W005</v>
      </c>
      <c r="F451">
        <f t="shared" ca="1" si="21"/>
        <v>9</v>
      </c>
      <c r="G451">
        <f ca="1">_xlfn.XLOOKUP(Orders[[#This Row],[Product ID]],Products[Product ID],Products[Selling Price])</f>
        <v>250</v>
      </c>
      <c r="H451" s="6">
        <f t="shared" ca="1" si="22"/>
        <v>0.01</v>
      </c>
      <c r="I451">
        <f ca="1">Orders[[#This Row],[Quantity]]*Orders[[#This Row],[Unit Price]]*(1-Orders[[#This Row],[Discount%]])</f>
        <v>2227.5</v>
      </c>
      <c r="J451" t="str" cm="1">
        <f t="array" aca="1" ref="J451" ca="1">INDEX(PaymentMethods[Payment Method],RANDBETWEEN(1,5))</f>
        <v>UPI</v>
      </c>
    </row>
    <row r="452" spans="1:10" x14ac:dyDescent="0.3">
      <c r="A452" t="str">
        <f t="shared" si="23"/>
        <v>O0451</v>
      </c>
      <c r="B452" s="6">
        <f ca="1">Orders[[#This Row],[Discount%]]</f>
        <v>0.12</v>
      </c>
      <c r="C452" t="str" cm="1">
        <f t="array" aca="1" ref="C452" ca="1">INDEX(Customers[Customer ID],RANDBETWEEN(1,200))</f>
        <v>C002</v>
      </c>
      <c r="D452" t="str" cm="1">
        <f t="array" aca="1" ref="D452" ca="1">INDEX(Products[Product ID],RANDBETWEEN(1,50))</f>
        <v>P002</v>
      </c>
      <c r="E452" t="str" cm="1">
        <f t="array" aca="1" ref="E452" ca="1">INDEX(Warehouses[Warehouse ID],RANDBETWEEN(1,8))</f>
        <v>W003</v>
      </c>
      <c r="F452">
        <f t="shared" ca="1" si="21"/>
        <v>1</v>
      </c>
      <c r="G452">
        <f ca="1">_xlfn.XLOOKUP(Orders[[#This Row],[Product ID]],Products[Product ID],Products[Selling Price])</f>
        <v>550</v>
      </c>
      <c r="H452" s="6">
        <f t="shared" ca="1" si="22"/>
        <v>0.12</v>
      </c>
      <c r="I452">
        <f ca="1">Orders[[#This Row],[Quantity]]*Orders[[#This Row],[Unit Price]]*(1-Orders[[#This Row],[Discount%]])</f>
        <v>484</v>
      </c>
      <c r="J452" t="str" cm="1">
        <f t="array" aca="1" ref="J452" ca="1">INDEX(PaymentMethods[Payment Method],RANDBETWEEN(1,5))</f>
        <v>Net Banking</v>
      </c>
    </row>
    <row r="453" spans="1:10" x14ac:dyDescent="0.3">
      <c r="A453" t="str">
        <f t="shared" si="23"/>
        <v>O0452</v>
      </c>
      <c r="B453" s="6">
        <f ca="1">Orders[[#This Row],[Discount%]]</f>
        <v>0</v>
      </c>
      <c r="C453" t="str" cm="1">
        <f t="array" aca="1" ref="C453" ca="1">INDEX(Customers[Customer ID],RANDBETWEEN(1,200))</f>
        <v>C198</v>
      </c>
      <c r="D453" t="str" cm="1">
        <f t="array" aca="1" ref="D453" ca="1">INDEX(Products[Product ID],RANDBETWEEN(1,50))</f>
        <v>P021</v>
      </c>
      <c r="E453" t="str" cm="1">
        <f t="array" aca="1" ref="E453" ca="1">INDEX(Warehouses[Warehouse ID],RANDBETWEEN(1,8))</f>
        <v>W008</v>
      </c>
      <c r="F453">
        <f t="shared" ca="1" si="21"/>
        <v>6</v>
      </c>
      <c r="G453">
        <f ca="1">_xlfn.XLOOKUP(Orders[[#This Row],[Product ID]],Products[Product ID],Products[Selling Price])</f>
        <v>22000</v>
      </c>
      <c r="H453" s="6">
        <f t="shared" ca="1" si="22"/>
        <v>0</v>
      </c>
      <c r="I453">
        <f ca="1">Orders[[#This Row],[Quantity]]*Orders[[#This Row],[Unit Price]]*(1-Orders[[#This Row],[Discount%]])</f>
        <v>132000</v>
      </c>
      <c r="J453" t="str" cm="1">
        <f t="array" aca="1" ref="J453" ca="1">INDEX(PaymentMethods[Payment Method],RANDBETWEEN(1,5))</f>
        <v>Cash</v>
      </c>
    </row>
    <row r="454" spans="1:10" x14ac:dyDescent="0.3">
      <c r="A454" t="str">
        <f t="shared" si="23"/>
        <v>O0453</v>
      </c>
      <c r="B454" s="6">
        <f ca="1">Orders[[#This Row],[Discount%]]</f>
        <v>0.08</v>
      </c>
      <c r="C454" t="str" cm="1">
        <f t="array" aca="1" ref="C454" ca="1">INDEX(Customers[Customer ID],RANDBETWEEN(1,200))</f>
        <v>C024</v>
      </c>
      <c r="D454" t="str" cm="1">
        <f t="array" aca="1" ref="D454" ca="1">INDEX(Products[Product ID],RANDBETWEEN(1,50))</f>
        <v>P033</v>
      </c>
      <c r="E454" t="str" cm="1">
        <f t="array" aca="1" ref="E454" ca="1">INDEX(Warehouses[Warehouse ID],RANDBETWEEN(1,8))</f>
        <v>W008</v>
      </c>
      <c r="F454">
        <f t="shared" ca="1" si="21"/>
        <v>7</v>
      </c>
      <c r="G454">
        <f ca="1">_xlfn.XLOOKUP(Orders[[#This Row],[Product ID]],Products[Product ID],Products[Selling Price])</f>
        <v>180</v>
      </c>
      <c r="H454" s="6">
        <f t="shared" ca="1" si="22"/>
        <v>0.08</v>
      </c>
      <c r="I454">
        <f ca="1">Orders[[#This Row],[Quantity]]*Orders[[#This Row],[Unit Price]]*(1-Orders[[#This Row],[Discount%]])</f>
        <v>1159.2</v>
      </c>
      <c r="J454" t="str" cm="1">
        <f t="array" aca="1" ref="J454" ca="1">INDEX(PaymentMethods[Payment Method],RANDBETWEEN(1,5))</f>
        <v>UPI</v>
      </c>
    </row>
    <row r="455" spans="1:10" x14ac:dyDescent="0.3">
      <c r="A455" t="str">
        <f t="shared" si="23"/>
        <v>O0454</v>
      </c>
      <c r="B455" s="6">
        <f ca="1">Orders[[#This Row],[Discount%]]</f>
        <v>0.16</v>
      </c>
      <c r="C455" t="str" cm="1">
        <f t="array" aca="1" ref="C455" ca="1">INDEX(Customers[Customer ID],RANDBETWEEN(1,200))</f>
        <v>C075</v>
      </c>
      <c r="D455" t="str" cm="1">
        <f t="array" aca="1" ref="D455" ca="1">INDEX(Products[Product ID],RANDBETWEEN(1,50))</f>
        <v>P003</v>
      </c>
      <c r="E455" t="str" cm="1">
        <f t="array" aca="1" ref="E455" ca="1">INDEX(Warehouses[Warehouse ID],RANDBETWEEN(1,8))</f>
        <v>W005</v>
      </c>
      <c r="F455">
        <f t="shared" ca="1" si="21"/>
        <v>7</v>
      </c>
      <c r="G455">
        <f ca="1">_xlfn.XLOOKUP(Orders[[#This Row],[Product ID]],Products[Product ID],Products[Selling Price])</f>
        <v>900</v>
      </c>
      <c r="H455" s="6">
        <f t="shared" ca="1" si="22"/>
        <v>0.16</v>
      </c>
      <c r="I455">
        <f ca="1">Orders[[#This Row],[Quantity]]*Orders[[#This Row],[Unit Price]]*(1-Orders[[#This Row],[Discount%]])</f>
        <v>5292</v>
      </c>
      <c r="J455" t="str" cm="1">
        <f t="array" aca="1" ref="J455" ca="1">INDEX(PaymentMethods[Payment Method],RANDBETWEEN(1,5))</f>
        <v>Credit Card</v>
      </c>
    </row>
    <row r="456" spans="1:10" x14ac:dyDescent="0.3">
      <c r="A456" t="str">
        <f t="shared" si="23"/>
        <v>O0455</v>
      </c>
      <c r="B456" s="6">
        <f ca="1">Orders[[#This Row],[Discount%]]</f>
        <v>0.14000000000000001</v>
      </c>
      <c r="C456" t="str" cm="1">
        <f t="array" aca="1" ref="C456" ca="1">INDEX(Customers[Customer ID],RANDBETWEEN(1,200))</f>
        <v>C050</v>
      </c>
      <c r="D456" t="str" cm="1">
        <f t="array" aca="1" ref="D456" ca="1">INDEX(Products[Product ID],RANDBETWEEN(1,50))</f>
        <v>P004</v>
      </c>
      <c r="E456" t="str" cm="1">
        <f t="array" aca="1" ref="E456" ca="1">INDEX(Warehouses[Warehouse ID],RANDBETWEEN(1,8))</f>
        <v>W008</v>
      </c>
      <c r="F456">
        <f t="shared" ca="1" si="21"/>
        <v>1</v>
      </c>
      <c r="G456">
        <f ca="1">_xlfn.XLOOKUP(Orders[[#This Row],[Product ID]],Products[Product ID],Products[Selling Price])</f>
        <v>9000</v>
      </c>
      <c r="H456" s="6">
        <f t="shared" ca="1" si="22"/>
        <v>0.14000000000000001</v>
      </c>
      <c r="I456">
        <f ca="1">Orders[[#This Row],[Quantity]]*Orders[[#This Row],[Unit Price]]*(1-Orders[[#This Row],[Discount%]])</f>
        <v>7740</v>
      </c>
      <c r="J456" t="str" cm="1">
        <f t="array" aca="1" ref="J456" ca="1">INDEX(PaymentMethods[Payment Method],RANDBETWEEN(1,5))</f>
        <v>Debit Card</v>
      </c>
    </row>
    <row r="457" spans="1:10" x14ac:dyDescent="0.3">
      <c r="A457" t="str">
        <f t="shared" si="23"/>
        <v>O0456</v>
      </c>
      <c r="B457" s="6">
        <f ca="1">Orders[[#This Row],[Discount%]]</f>
        <v>0.11</v>
      </c>
      <c r="C457" t="str" cm="1">
        <f t="array" aca="1" ref="C457" ca="1">INDEX(Customers[Customer ID],RANDBETWEEN(1,200))</f>
        <v>C075</v>
      </c>
      <c r="D457" t="str" cm="1">
        <f t="array" aca="1" ref="D457" ca="1">INDEX(Products[Product ID],RANDBETWEEN(1,50))</f>
        <v>P029</v>
      </c>
      <c r="E457" t="str" cm="1">
        <f t="array" aca="1" ref="E457" ca="1">INDEX(Warehouses[Warehouse ID],RANDBETWEEN(1,8))</f>
        <v>W003</v>
      </c>
      <c r="F457">
        <f t="shared" ca="1" si="21"/>
        <v>8</v>
      </c>
      <c r="G457">
        <f ca="1">_xlfn.XLOOKUP(Orders[[#This Row],[Product ID]],Products[Product ID],Products[Selling Price])</f>
        <v>3200</v>
      </c>
      <c r="H457" s="6">
        <f t="shared" ca="1" si="22"/>
        <v>0.11</v>
      </c>
      <c r="I457">
        <f ca="1">Orders[[#This Row],[Quantity]]*Orders[[#This Row],[Unit Price]]*(1-Orders[[#This Row],[Discount%]])</f>
        <v>22784</v>
      </c>
      <c r="J457" t="str" cm="1">
        <f t="array" aca="1" ref="J457" ca="1">INDEX(PaymentMethods[Payment Method],RANDBETWEEN(1,5))</f>
        <v>Net Banking</v>
      </c>
    </row>
    <row r="458" spans="1:10" x14ac:dyDescent="0.3">
      <c r="A458" t="str">
        <f t="shared" si="23"/>
        <v>O0457</v>
      </c>
      <c r="B458" s="6">
        <f ca="1">Orders[[#This Row],[Discount%]]</f>
        <v>0.17</v>
      </c>
      <c r="C458" t="str" cm="1">
        <f t="array" aca="1" ref="C458" ca="1">INDEX(Customers[Customer ID],RANDBETWEEN(1,200))</f>
        <v>C034</v>
      </c>
      <c r="D458" t="str" cm="1">
        <f t="array" aca="1" ref="D458" ca="1">INDEX(Products[Product ID],RANDBETWEEN(1,50))</f>
        <v>P020</v>
      </c>
      <c r="E458" t="str" cm="1">
        <f t="array" aca="1" ref="E458" ca="1">INDEX(Warehouses[Warehouse ID],RANDBETWEEN(1,8))</f>
        <v>W007</v>
      </c>
      <c r="F458">
        <f t="shared" ca="1" si="21"/>
        <v>8</v>
      </c>
      <c r="G458">
        <f ca="1">_xlfn.XLOOKUP(Orders[[#This Row],[Product ID]],Products[Product ID],Products[Selling Price])</f>
        <v>450</v>
      </c>
      <c r="H458" s="6">
        <f t="shared" ca="1" si="22"/>
        <v>0.17</v>
      </c>
      <c r="I458">
        <f ca="1">Orders[[#This Row],[Quantity]]*Orders[[#This Row],[Unit Price]]*(1-Orders[[#This Row],[Discount%]])</f>
        <v>2988</v>
      </c>
      <c r="J458" t="str" cm="1">
        <f t="array" aca="1" ref="J458" ca="1">INDEX(PaymentMethods[Payment Method],RANDBETWEEN(1,5))</f>
        <v>Credit Card</v>
      </c>
    </row>
    <row r="459" spans="1:10" x14ac:dyDescent="0.3">
      <c r="A459" t="str">
        <f t="shared" si="23"/>
        <v>O0458</v>
      </c>
      <c r="B459" s="6">
        <f ca="1">Orders[[#This Row],[Discount%]]</f>
        <v>7.0000000000000007E-2</v>
      </c>
      <c r="C459" t="str" cm="1">
        <f t="array" aca="1" ref="C459" ca="1">INDEX(Customers[Customer ID],RANDBETWEEN(1,200))</f>
        <v>C148</v>
      </c>
      <c r="D459" t="str" cm="1">
        <f t="array" aca="1" ref="D459" ca="1">INDEX(Products[Product ID],RANDBETWEEN(1,50))</f>
        <v>P003</v>
      </c>
      <c r="E459" t="str" cm="1">
        <f t="array" aca="1" ref="E459" ca="1">INDEX(Warehouses[Warehouse ID],RANDBETWEEN(1,8))</f>
        <v>W007</v>
      </c>
      <c r="F459">
        <f t="shared" ca="1" si="21"/>
        <v>2</v>
      </c>
      <c r="G459">
        <f ca="1">_xlfn.XLOOKUP(Orders[[#This Row],[Product ID]],Products[Product ID],Products[Selling Price])</f>
        <v>900</v>
      </c>
      <c r="H459" s="6">
        <f t="shared" ca="1" si="22"/>
        <v>7.0000000000000007E-2</v>
      </c>
      <c r="I459">
        <f ca="1">Orders[[#This Row],[Quantity]]*Orders[[#This Row],[Unit Price]]*(1-Orders[[#This Row],[Discount%]])</f>
        <v>1674</v>
      </c>
      <c r="J459" t="str" cm="1">
        <f t="array" aca="1" ref="J459" ca="1">INDEX(PaymentMethods[Payment Method],RANDBETWEEN(1,5))</f>
        <v>Cash</v>
      </c>
    </row>
    <row r="460" spans="1:10" x14ac:dyDescent="0.3">
      <c r="A460" t="str">
        <f t="shared" si="23"/>
        <v>O0459</v>
      </c>
      <c r="B460" s="6">
        <f ca="1">Orders[[#This Row],[Discount%]]</f>
        <v>0.16</v>
      </c>
      <c r="C460" t="str" cm="1">
        <f t="array" aca="1" ref="C460" ca="1">INDEX(Customers[Customer ID],RANDBETWEEN(1,200))</f>
        <v>C150</v>
      </c>
      <c r="D460" t="str" cm="1">
        <f t="array" aca="1" ref="D460" ca="1">INDEX(Products[Product ID],RANDBETWEEN(1,50))</f>
        <v>P002</v>
      </c>
      <c r="E460" t="str" cm="1">
        <f t="array" aca="1" ref="E460" ca="1">INDEX(Warehouses[Warehouse ID],RANDBETWEEN(1,8))</f>
        <v>W006</v>
      </c>
      <c r="F460">
        <f t="shared" ca="1" si="21"/>
        <v>2</v>
      </c>
      <c r="G460">
        <f ca="1">_xlfn.XLOOKUP(Orders[[#This Row],[Product ID]],Products[Product ID],Products[Selling Price])</f>
        <v>550</v>
      </c>
      <c r="H460" s="6">
        <f t="shared" ca="1" si="22"/>
        <v>0.16</v>
      </c>
      <c r="I460">
        <f ca="1">Orders[[#This Row],[Quantity]]*Orders[[#This Row],[Unit Price]]*(1-Orders[[#This Row],[Discount%]])</f>
        <v>924</v>
      </c>
      <c r="J460" t="str" cm="1">
        <f t="array" aca="1" ref="J460" ca="1">INDEX(PaymentMethods[Payment Method],RANDBETWEEN(1,5))</f>
        <v>Cash</v>
      </c>
    </row>
    <row r="461" spans="1:10" x14ac:dyDescent="0.3">
      <c r="A461" t="str">
        <f t="shared" si="23"/>
        <v>O0460</v>
      </c>
      <c r="B461" s="6">
        <f ca="1">Orders[[#This Row],[Discount%]]</f>
        <v>0.2</v>
      </c>
      <c r="C461" t="str" cm="1">
        <f t="array" aca="1" ref="C461" ca="1">INDEX(Customers[Customer ID],RANDBETWEEN(1,200))</f>
        <v>C139</v>
      </c>
      <c r="D461" t="str" cm="1">
        <f t="array" aca="1" ref="D461" ca="1">INDEX(Products[Product ID],RANDBETWEEN(1,50))</f>
        <v>P010</v>
      </c>
      <c r="E461" t="str" cm="1">
        <f t="array" aca="1" ref="E461" ca="1">INDEX(Warehouses[Warehouse ID],RANDBETWEEN(1,8))</f>
        <v>W007</v>
      </c>
      <c r="F461">
        <f t="shared" ca="1" si="21"/>
        <v>9</v>
      </c>
      <c r="G461">
        <f ca="1">_xlfn.XLOOKUP(Orders[[#This Row],[Product ID]],Products[Product ID],Products[Selling Price])</f>
        <v>250</v>
      </c>
      <c r="H461" s="6">
        <f t="shared" ca="1" si="22"/>
        <v>0.2</v>
      </c>
      <c r="I461">
        <f ca="1">Orders[[#This Row],[Quantity]]*Orders[[#This Row],[Unit Price]]*(1-Orders[[#This Row],[Discount%]])</f>
        <v>1800</v>
      </c>
      <c r="J461" t="str" cm="1">
        <f t="array" aca="1" ref="J461" ca="1">INDEX(PaymentMethods[Payment Method],RANDBETWEEN(1,5))</f>
        <v>UPI</v>
      </c>
    </row>
    <row r="462" spans="1:10" x14ac:dyDescent="0.3">
      <c r="A462" t="str">
        <f t="shared" si="23"/>
        <v>O0461</v>
      </c>
      <c r="B462" s="6">
        <f ca="1">Orders[[#This Row],[Discount%]]</f>
        <v>0.14000000000000001</v>
      </c>
      <c r="C462" t="str" cm="1">
        <f t="array" aca="1" ref="C462" ca="1">INDEX(Customers[Customer ID],RANDBETWEEN(1,200))</f>
        <v>C040</v>
      </c>
      <c r="D462" t="str" cm="1">
        <f t="array" aca="1" ref="D462" ca="1">INDEX(Products[Product ID],RANDBETWEEN(1,50))</f>
        <v>P012</v>
      </c>
      <c r="E462" t="str" cm="1">
        <f t="array" aca="1" ref="E462" ca="1">INDEX(Warehouses[Warehouse ID],RANDBETWEEN(1,8))</f>
        <v>W002</v>
      </c>
      <c r="F462">
        <f t="shared" ca="1" si="21"/>
        <v>10</v>
      </c>
      <c r="G462">
        <f ca="1">_xlfn.XLOOKUP(Orders[[#This Row],[Product ID]],Products[Product ID],Products[Selling Price])</f>
        <v>80</v>
      </c>
      <c r="H462" s="6">
        <f t="shared" ca="1" si="22"/>
        <v>0.14000000000000001</v>
      </c>
      <c r="I462">
        <f ca="1">Orders[[#This Row],[Quantity]]*Orders[[#This Row],[Unit Price]]*(1-Orders[[#This Row],[Discount%]])</f>
        <v>688</v>
      </c>
      <c r="J462" t="str" cm="1">
        <f t="array" aca="1" ref="J462" ca="1">INDEX(PaymentMethods[Payment Method],RANDBETWEEN(1,5))</f>
        <v>Cash</v>
      </c>
    </row>
    <row r="463" spans="1:10" x14ac:dyDescent="0.3">
      <c r="A463" t="str">
        <f t="shared" si="23"/>
        <v>O0462</v>
      </c>
      <c r="B463" s="6">
        <f ca="1">Orders[[#This Row],[Discount%]]</f>
        <v>0.09</v>
      </c>
      <c r="C463" t="str" cm="1">
        <f t="array" aca="1" ref="C463" ca="1">INDEX(Customers[Customer ID],RANDBETWEEN(1,200))</f>
        <v>C193</v>
      </c>
      <c r="D463" t="str" cm="1">
        <f t="array" aca="1" ref="D463" ca="1">INDEX(Products[Product ID],RANDBETWEEN(1,50))</f>
        <v>P027</v>
      </c>
      <c r="E463" t="str" cm="1">
        <f t="array" aca="1" ref="E463" ca="1">INDEX(Warehouses[Warehouse ID],RANDBETWEEN(1,8))</f>
        <v>W005</v>
      </c>
      <c r="F463">
        <f t="shared" ca="1" si="21"/>
        <v>4</v>
      </c>
      <c r="G463">
        <f ca="1">_xlfn.XLOOKUP(Orders[[#This Row],[Product ID]],Products[Product ID],Products[Selling Price])</f>
        <v>4000</v>
      </c>
      <c r="H463" s="6">
        <f t="shared" ca="1" si="22"/>
        <v>0.09</v>
      </c>
      <c r="I463">
        <f ca="1">Orders[[#This Row],[Quantity]]*Orders[[#This Row],[Unit Price]]*(1-Orders[[#This Row],[Discount%]])</f>
        <v>14560</v>
      </c>
      <c r="J463" t="str" cm="1">
        <f t="array" aca="1" ref="J463" ca="1">INDEX(PaymentMethods[Payment Method],RANDBETWEEN(1,5))</f>
        <v>Credit Card</v>
      </c>
    </row>
    <row r="464" spans="1:10" x14ac:dyDescent="0.3">
      <c r="A464" t="str">
        <f t="shared" si="23"/>
        <v>O0463</v>
      </c>
      <c r="B464" s="6">
        <f ca="1">Orders[[#This Row],[Discount%]]</f>
        <v>0.16</v>
      </c>
      <c r="C464" t="str" cm="1">
        <f t="array" aca="1" ref="C464" ca="1">INDEX(Customers[Customer ID],RANDBETWEEN(1,200))</f>
        <v>C100</v>
      </c>
      <c r="D464" t="str" cm="1">
        <f t="array" aca="1" ref="D464" ca="1">INDEX(Products[Product ID],RANDBETWEEN(1,50))</f>
        <v>P033</v>
      </c>
      <c r="E464" t="str" cm="1">
        <f t="array" aca="1" ref="E464" ca="1">INDEX(Warehouses[Warehouse ID],RANDBETWEEN(1,8))</f>
        <v>W002</v>
      </c>
      <c r="F464">
        <f t="shared" ca="1" si="21"/>
        <v>4</v>
      </c>
      <c r="G464">
        <f ca="1">_xlfn.XLOOKUP(Orders[[#This Row],[Product ID]],Products[Product ID],Products[Selling Price])</f>
        <v>180</v>
      </c>
      <c r="H464" s="6">
        <f t="shared" ca="1" si="22"/>
        <v>0.16</v>
      </c>
      <c r="I464">
        <f ca="1">Orders[[#This Row],[Quantity]]*Orders[[#This Row],[Unit Price]]*(1-Orders[[#This Row],[Discount%]])</f>
        <v>604.79999999999995</v>
      </c>
      <c r="J464" t="str" cm="1">
        <f t="array" aca="1" ref="J464" ca="1">INDEX(PaymentMethods[Payment Method],RANDBETWEEN(1,5))</f>
        <v>Cash</v>
      </c>
    </row>
    <row r="465" spans="1:10" x14ac:dyDescent="0.3">
      <c r="A465" t="str">
        <f t="shared" si="23"/>
        <v>O0464</v>
      </c>
      <c r="B465" s="6">
        <f ca="1">Orders[[#This Row],[Discount%]]</f>
        <v>0.09</v>
      </c>
      <c r="C465" t="str" cm="1">
        <f t="array" aca="1" ref="C465" ca="1">INDEX(Customers[Customer ID],RANDBETWEEN(1,200))</f>
        <v>C009</v>
      </c>
      <c r="D465" t="str" cm="1">
        <f t="array" aca="1" ref="D465" ca="1">INDEX(Products[Product ID],RANDBETWEEN(1,50))</f>
        <v>P021</v>
      </c>
      <c r="E465" t="str" cm="1">
        <f t="array" aca="1" ref="E465" ca="1">INDEX(Warehouses[Warehouse ID],RANDBETWEEN(1,8))</f>
        <v>W002</v>
      </c>
      <c r="F465">
        <f t="shared" ca="1" si="21"/>
        <v>9</v>
      </c>
      <c r="G465">
        <f ca="1">_xlfn.XLOOKUP(Orders[[#This Row],[Product ID]],Products[Product ID],Products[Selling Price])</f>
        <v>22000</v>
      </c>
      <c r="H465" s="6">
        <f t="shared" ca="1" si="22"/>
        <v>0.09</v>
      </c>
      <c r="I465">
        <f ca="1">Orders[[#This Row],[Quantity]]*Orders[[#This Row],[Unit Price]]*(1-Orders[[#This Row],[Discount%]])</f>
        <v>180180</v>
      </c>
      <c r="J465" t="str" cm="1">
        <f t="array" aca="1" ref="J465" ca="1">INDEX(PaymentMethods[Payment Method],RANDBETWEEN(1,5))</f>
        <v>UPI</v>
      </c>
    </row>
    <row r="466" spans="1:10" x14ac:dyDescent="0.3">
      <c r="A466" t="str">
        <f t="shared" si="23"/>
        <v>O0465</v>
      </c>
      <c r="B466" s="6">
        <f ca="1">Orders[[#This Row],[Discount%]]</f>
        <v>0.13</v>
      </c>
      <c r="C466" t="str" cm="1">
        <f t="array" aca="1" ref="C466" ca="1">INDEX(Customers[Customer ID],RANDBETWEEN(1,200))</f>
        <v>C181</v>
      </c>
      <c r="D466" t="str" cm="1">
        <f t="array" aca="1" ref="D466" ca="1">INDEX(Products[Product ID],RANDBETWEEN(1,50))</f>
        <v>P030</v>
      </c>
      <c r="E466" t="str" cm="1">
        <f t="array" aca="1" ref="E466" ca="1">INDEX(Warehouses[Warehouse ID],RANDBETWEEN(1,8))</f>
        <v>W008</v>
      </c>
      <c r="F466">
        <f t="shared" ca="1" si="21"/>
        <v>9</v>
      </c>
      <c r="G466">
        <f ca="1">_xlfn.XLOOKUP(Orders[[#This Row],[Product ID]],Products[Product ID],Products[Selling Price])</f>
        <v>4800</v>
      </c>
      <c r="H466" s="6">
        <f t="shared" ca="1" si="22"/>
        <v>0.13</v>
      </c>
      <c r="I466">
        <f ca="1">Orders[[#This Row],[Quantity]]*Orders[[#This Row],[Unit Price]]*(1-Orders[[#This Row],[Discount%]])</f>
        <v>37584</v>
      </c>
      <c r="J466" t="str" cm="1">
        <f t="array" aca="1" ref="J466" ca="1">INDEX(PaymentMethods[Payment Method],RANDBETWEEN(1,5))</f>
        <v>Credit Card</v>
      </c>
    </row>
    <row r="467" spans="1:10" x14ac:dyDescent="0.3">
      <c r="A467" t="str">
        <f t="shared" si="23"/>
        <v>O0466</v>
      </c>
      <c r="B467" s="6">
        <f ca="1">Orders[[#This Row],[Discount%]]</f>
        <v>0.06</v>
      </c>
      <c r="C467" t="str" cm="1">
        <f t="array" aca="1" ref="C467" ca="1">INDEX(Customers[Customer ID],RANDBETWEEN(1,200))</f>
        <v>C154</v>
      </c>
      <c r="D467" t="str" cm="1">
        <f t="array" aca="1" ref="D467" ca="1">INDEX(Products[Product ID],RANDBETWEEN(1,50))</f>
        <v>P047</v>
      </c>
      <c r="E467" t="str" cm="1">
        <f t="array" aca="1" ref="E467" ca="1">INDEX(Warehouses[Warehouse ID],RANDBETWEEN(1,8))</f>
        <v>W002</v>
      </c>
      <c r="F467">
        <f t="shared" ca="1" si="21"/>
        <v>5</v>
      </c>
      <c r="G467">
        <f ca="1">_xlfn.XLOOKUP(Orders[[#This Row],[Product ID]],Products[Product ID],Products[Selling Price])</f>
        <v>6200</v>
      </c>
      <c r="H467" s="6">
        <f t="shared" ca="1" si="22"/>
        <v>0.06</v>
      </c>
      <c r="I467">
        <f ca="1">Orders[[#This Row],[Quantity]]*Orders[[#This Row],[Unit Price]]*(1-Orders[[#This Row],[Discount%]])</f>
        <v>29140</v>
      </c>
      <c r="J467" t="str" cm="1">
        <f t="array" aca="1" ref="J467" ca="1">INDEX(PaymentMethods[Payment Method],RANDBETWEEN(1,5))</f>
        <v>Debit Card</v>
      </c>
    </row>
    <row r="468" spans="1:10" x14ac:dyDescent="0.3">
      <c r="A468" t="str">
        <f t="shared" si="23"/>
        <v>O0467</v>
      </c>
      <c r="B468" s="6">
        <f ca="1">Orders[[#This Row],[Discount%]]</f>
        <v>0.1</v>
      </c>
      <c r="C468" t="str" cm="1">
        <f t="array" aca="1" ref="C468" ca="1">INDEX(Customers[Customer ID],RANDBETWEEN(1,200))</f>
        <v>C085</v>
      </c>
      <c r="D468" t="str" cm="1">
        <f t="array" aca="1" ref="D468" ca="1">INDEX(Products[Product ID],RANDBETWEEN(1,50))</f>
        <v>P003</v>
      </c>
      <c r="E468" t="str" cm="1">
        <f t="array" aca="1" ref="E468" ca="1">INDEX(Warehouses[Warehouse ID],RANDBETWEEN(1,8))</f>
        <v>W006</v>
      </c>
      <c r="F468">
        <f t="shared" ca="1" si="21"/>
        <v>3</v>
      </c>
      <c r="G468">
        <f ca="1">_xlfn.XLOOKUP(Orders[[#This Row],[Product ID]],Products[Product ID],Products[Selling Price])</f>
        <v>900</v>
      </c>
      <c r="H468" s="6">
        <f t="shared" ca="1" si="22"/>
        <v>0.1</v>
      </c>
      <c r="I468">
        <f ca="1">Orders[[#This Row],[Quantity]]*Orders[[#This Row],[Unit Price]]*(1-Orders[[#This Row],[Discount%]])</f>
        <v>2430</v>
      </c>
      <c r="J468" t="str" cm="1">
        <f t="array" aca="1" ref="J468" ca="1">INDEX(PaymentMethods[Payment Method],RANDBETWEEN(1,5))</f>
        <v>Net Banking</v>
      </c>
    </row>
    <row r="469" spans="1:10" x14ac:dyDescent="0.3">
      <c r="A469" t="str">
        <f t="shared" si="23"/>
        <v>O0468</v>
      </c>
      <c r="B469" s="6">
        <f ca="1">Orders[[#This Row],[Discount%]]</f>
        <v>0.04</v>
      </c>
      <c r="C469" t="str" cm="1">
        <f t="array" aca="1" ref="C469" ca="1">INDEX(Customers[Customer ID],RANDBETWEEN(1,200))</f>
        <v>C078</v>
      </c>
      <c r="D469" t="str" cm="1">
        <f t="array" aca="1" ref="D469" ca="1">INDEX(Products[Product ID],RANDBETWEEN(1,50))</f>
        <v>P007</v>
      </c>
      <c r="E469" t="str" cm="1">
        <f t="array" aca="1" ref="E469" ca="1">INDEX(Warehouses[Warehouse ID],RANDBETWEEN(1,8))</f>
        <v>W001</v>
      </c>
      <c r="F469">
        <f t="shared" ca="1" si="21"/>
        <v>7</v>
      </c>
      <c r="G469">
        <f ca="1">_xlfn.XLOOKUP(Orders[[#This Row],[Product ID]],Products[Product ID],Products[Selling Price])</f>
        <v>6000</v>
      </c>
      <c r="H469" s="6">
        <f t="shared" ca="1" si="22"/>
        <v>0.04</v>
      </c>
      <c r="I469">
        <f ca="1">Orders[[#This Row],[Quantity]]*Orders[[#This Row],[Unit Price]]*(1-Orders[[#This Row],[Discount%]])</f>
        <v>40320</v>
      </c>
      <c r="J469" t="str" cm="1">
        <f t="array" aca="1" ref="J469" ca="1">INDEX(PaymentMethods[Payment Method],RANDBETWEEN(1,5))</f>
        <v>Credit Card</v>
      </c>
    </row>
    <row r="470" spans="1:10" x14ac:dyDescent="0.3">
      <c r="A470" t="str">
        <f t="shared" si="23"/>
        <v>O0469</v>
      </c>
      <c r="B470" s="6">
        <f ca="1">Orders[[#This Row],[Discount%]]</f>
        <v>0.17</v>
      </c>
      <c r="C470" t="str" cm="1">
        <f t="array" aca="1" ref="C470" ca="1">INDEX(Customers[Customer ID],RANDBETWEEN(1,200))</f>
        <v>C116</v>
      </c>
      <c r="D470" t="str" cm="1">
        <f t="array" aca="1" ref="D470" ca="1">INDEX(Products[Product ID],RANDBETWEEN(1,50))</f>
        <v>P039</v>
      </c>
      <c r="E470" t="str" cm="1">
        <f t="array" aca="1" ref="E470" ca="1">INDEX(Warehouses[Warehouse ID],RANDBETWEEN(1,8))</f>
        <v>W008</v>
      </c>
      <c r="F470">
        <f t="shared" ca="1" si="21"/>
        <v>7</v>
      </c>
      <c r="G470">
        <f ca="1">_xlfn.XLOOKUP(Orders[[#This Row],[Product ID]],Products[Product ID],Products[Selling Price])</f>
        <v>250</v>
      </c>
      <c r="H470" s="6">
        <f t="shared" ca="1" si="22"/>
        <v>0.17</v>
      </c>
      <c r="I470">
        <f ca="1">Orders[[#This Row],[Quantity]]*Orders[[#This Row],[Unit Price]]*(1-Orders[[#This Row],[Discount%]])</f>
        <v>1452.5</v>
      </c>
      <c r="J470" t="str" cm="1">
        <f t="array" aca="1" ref="J470" ca="1">INDEX(PaymentMethods[Payment Method],RANDBETWEEN(1,5))</f>
        <v>Credit Card</v>
      </c>
    </row>
    <row r="471" spans="1:10" x14ac:dyDescent="0.3">
      <c r="A471" t="str">
        <f t="shared" si="23"/>
        <v>O0470</v>
      </c>
      <c r="B471" s="6">
        <f ca="1">Orders[[#This Row],[Discount%]]</f>
        <v>0.16</v>
      </c>
      <c r="C471" t="str" cm="1">
        <f t="array" aca="1" ref="C471" ca="1">INDEX(Customers[Customer ID],RANDBETWEEN(1,200))</f>
        <v>C079</v>
      </c>
      <c r="D471" t="str" cm="1">
        <f t="array" aca="1" ref="D471" ca="1">INDEX(Products[Product ID],RANDBETWEEN(1,50))</f>
        <v>P042</v>
      </c>
      <c r="E471" t="str" cm="1">
        <f t="array" aca="1" ref="E471" ca="1">INDEX(Warehouses[Warehouse ID],RANDBETWEEN(1,8))</f>
        <v>W008</v>
      </c>
      <c r="F471">
        <f t="shared" ca="1" si="21"/>
        <v>5</v>
      </c>
      <c r="G471">
        <f ca="1">_xlfn.XLOOKUP(Orders[[#This Row],[Product ID]],Products[Product ID],Products[Selling Price])</f>
        <v>29000</v>
      </c>
      <c r="H471" s="6">
        <f t="shared" ca="1" si="22"/>
        <v>0.16</v>
      </c>
      <c r="I471">
        <f ca="1">Orders[[#This Row],[Quantity]]*Orders[[#This Row],[Unit Price]]*(1-Orders[[#This Row],[Discount%]])</f>
        <v>121800</v>
      </c>
      <c r="J471" t="str" cm="1">
        <f t="array" aca="1" ref="J471" ca="1">INDEX(PaymentMethods[Payment Method],RANDBETWEEN(1,5))</f>
        <v>Cash</v>
      </c>
    </row>
    <row r="472" spans="1:10" x14ac:dyDescent="0.3">
      <c r="A472" t="str">
        <f t="shared" si="23"/>
        <v>O0471</v>
      </c>
      <c r="B472" s="6">
        <f ca="1">Orders[[#This Row],[Discount%]]</f>
        <v>0.05</v>
      </c>
      <c r="C472" t="str" cm="1">
        <f t="array" aca="1" ref="C472" ca="1">INDEX(Customers[Customer ID],RANDBETWEEN(1,200))</f>
        <v>C055</v>
      </c>
      <c r="D472" t="str" cm="1">
        <f t="array" aca="1" ref="D472" ca="1">INDEX(Products[Product ID],RANDBETWEEN(1,50))</f>
        <v>P020</v>
      </c>
      <c r="E472" t="str" cm="1">
        <f t="array" aca="1" ref="E472" ca="1">INDEX(Warehouses[Warehouse ID],RANDBETWEEN(1,8))</f>
        <v>W003</v>
      </c>
      <c r="F472">
        <f t="shared" ca="1" si="21"/>
        <v>8</v>
      </c>
      <c r="G472">
        <f ca="1">_xlfn.XLOOKUP(Orders[[#This Row],[Product ID]],Products[Product ID],Products[Selling Price])</f>
        <v>450</v>
      </c>
      <c r="H472" s="6">
        <f t="shared" ca="1" si="22"/>
        <v>0.05</v>
      </c>
      <c r="I472">
        <f ca="1">Orders[[#This Row],[Quantity]]*Orders[[#This Row],[Unit Price]]*(1-Orders[[#This Row],[Discount%]])</f>
        <v>3420</v>
      </c>
      <c r="J472" t="str" cm="1">
        <f t="array" aca="1" ref="J472" ca="1">INDEX(PaymentMethods[Payment Method],RANDBETWEEN(1,5))</f>
        <v>Cash</v>
      </c>
    </row>
    <row r="473" spans="1:10" x14ac:dyDescent="0.3">
      <c r="A473" t="str">
        <f t="shared" si="23"/>
        <v>O0472</v>
      </c>
      <c r="B473" s="6">
        <f ca="1">Orders[[#This Row],[Discount%]]</f>
        <v>0.11</v>
      </c>
      <c r="C473" t="str" cm="1">
        <f t="array" aca="1" ref="C473" ca="1">INDEX(Customers[Customer ID],RANDBETWEEN(1,200))</f>
        <v>C001</v>
      </c>
      <c r="D473" t="str" cm="1">
        <f t="array" aca="1" ref="D473" ca="1">INDEX(Products[Product ID],RANDBETWEEN(1,50))</f>
        <v>P041</v>
      </c>
      <c r="E473" t="str" cm="1">
        <f t="array" aca="1" ref="E473" ca="1">INDEX(Warehouses[Warehouse ID],RANDBETWEEN(1,8))</f>
        <v>W001</v>
      </c>
      <c r="F473">
        <f t="shared" ca="1" si="21"/>
        <v>1</v>
      </c>
      <c r="G473">
        <f ca="1">_xlfn.XLOOKUP(Orders[[#This Row],[Product ID]],Products[Product ID],Products[Selling Price])</f>
        <v>36000</v>
      </c>
      <c r="H473" s="6">
        <f t="shared" ca="1" si="22"/>
        <v>0.11</v>
      </c>
      <c r="I473">
        <f ca="1">Orders[[#This Row],[Quantity]]*Orders[[#This Row],[Unit Price]]*(1-Orders[[#This Row],[Discount%]])</f>
        <v>32040</v>
      </c>
      <c r="J473" t="str" cm="1">
        <f t="array" aca="1" ref="J473" ca="1">INDEX(PaymentMethods[Payment Method],RANDBETWEEN(1,5))</f>
        <v>Debit Card</v>
      </c>
    </row>
    <row r="474" spans="1:10" x14ac:dyDescent="0.3">
      <c r="A474" t="str">
        <f t="shared" si="23"/>
        <v>O0473</v>
      </c>
      <c r="B474" s="6">
        <f ca="1">Orders[[#This Row],[Discount%]]</f>
        <v>0.06</v>
      </c>
      <c r="C474" t="str" cm="1">
        <f t="array" aca="1" ref="C474" ca="1">INDEX(Customers[Customer ID],RANDBETWEEN(1,200))</f>
        <v>C078</v>
      </c>
      <c r="D474" t="str" cm="1">
        <f t="array" aca="1" ref="D474" ca="1">INDEX(Products[Product ID],RANDBETWEEN(1,50))</f>
        <v>P035</v>
      </c>
      <c r="E474" t="str" cm="1">
        <f t="array" aca="1" ref="E474" ca="1">INDEX(Warehouses[Warehouse ID],RANDBETWEEN(1,8))</f>
        <v>W006</v>
      </c>
      <c r="F474">
        <f t="shared" ca="1" si="21"/>
        <v>4</v>
      </c>
      <c r="G474">
        <f ca="1">_xlfn.XLOOKUP(Orders[[#This Row],[Product ID]],Products[Product ID],Products[Selling Price])</f>
        <v>300</v>
      </c>
      <c r="H474" s="6">
        <f t="shared" ca="1" si="22"/>
        <v>0.06</v>
      </c>
      <c r="I474">
        <f ca="1">Orders[[#This Row],[Quantity]]*Orders[[#This Row],[Unit Price]]*(1-Orders[[#This Row],[Discount%]])</f>
        <v>1128</v>
      </c>
      <c r="J474" t="str" cm="1">
        <f t="array" aca="1" ref="J474" ca="1">INDEX(PaymentMethods[Payment Method],RANDBETWEEN(1,5))</f>
        <v>Net Banking</v>
      </c>
    </row>
    <row r="475" spans="1:10" x14ac:dyDescent="0.3">
      <c r="A475" t="str">
        <f t="shared" si="23"/>
        <v>O0474</v>
      </c>
      <c r="B475" s="6">
        <f ca="1">Orders[[#This Row],[Discount%]]</f>
        <v>0.14000000000000001</v>
      </c>
      <c r="C475" t="str" cm="1">
        <f t="array" aca="1" ref="C475" ca="1">INDEX(Customers[Customer ID],RANDBETWEEN(1,200))</f>
        <v>C148</v>
      </c>
      <c r="D475" t="str" cm="1">
        <f t="array" aca="1" ref="D475" ca="1">INDEX(Products[Product ID],RANDBETWEEN(1,50))</f>
        <v>P016</v>
      </c>
      <c r="E475" t="str" cm="1">
        <f t="array" aca="1" ref="E475" ca="1">INDEX(Warehouses[Warehouse ID],RANDBETWEEN(1,8))</f>
        <v>W003</v>
      </c>
      <c r="F475">
        <f t="shared" ca="1" si="21"/>
        <v>10</v>
      </c>
      <c r="G475">
        <f ca="1">_xlfn.XLOOKUP(Orders[[#This Row],[Product ID]],Products[Product ID],Products[Selling Price])</f>
        <v>2500</v>
      </c>
      <c r="H475" s="6">
        <f t="shared" ca="1" si="22"/>
        <v>0.14000000000000001</v>
      </c>
      <c r="I475">
        <f ca="1">Orders[[#This Row],[Quantity]]*Orders[[#This Row],[Unit Price]]*(1-Orders[[#This Row],[Discount%]])</f>
        <v>21500</v>
      </c>
      <c r="J475" t="str" cm="1">
        <f t="array" aca="1" ref="J475" ca="1">INDEX(PaymentMethods[Payment Method],RANDBETWEEN(1,5))</f>
        <v>Debit Card</v>
      </c>
    </row>
    <row r="476" spans="1:10" x14ac:dyDescent="0.3">
      <c r="A476" t="str">
        <f t="shared" si="23"/>
        <v>O0475</v>
      </c>
      <c r="B476" s="6">
        <f ca="1">Orders[[#This Row],[Discount%]]</f>
        <v>7.0000000000000007E-2</v>
      </c>
      <c r="C476" t="str" cm="1">
        <f t="array" aca="1" ref="C476" ca="1">INDEX(Customers[Customer ID],RANDBETWEEN(1,200))</f>
        <v>C112</v>
      </c>
      <c r="D476" t="str" cm="1">
        <f t="array" aca="1" ref="D476" ca="1">INDEX(Products[Product ID],RANDBETWEEN(1,50))</f>
        <v>P014</v>
      </c>
      <c r="E476" t="str" cm="1">
        <f t="array" aca="1" ref="E476" ca="1">INDEX(Warehouses[Warehouse ID],RANDBETWEEN(1,8))</f>
        <v>W004</v>
      </c>
      <c r="F476">
        <f t="shared" ca="1" si="21"/>
        <v>10</v>
      </c>
      <c r="G476">
        <f ca="1">_xlfn.XLOOKUP(Orders[[#This Row],[Product ID]],Products[Product ID],Products[Selling Price])</f>
        <v>800</v>
      </c>
      <c r="H476" s="6">
        <f t="shared" ca="1" si="22"/>
        <v>7.0000000000000007E-2</v>
      </c>
      <c r="I476">
        <f ca="1">Orders[[#This Row],[Quantity]]*Orders[[#This Row],[Unit Price]]*(1-Orders[[#This Row],[Discount%]])</f>
        <v>7439.9999999999991</v>
      </c>
      <c r="J476" t="str" cm="1">
        <f t="array" aca="1" ref="J476" ca="1">INDEX(PaymentMethods[Payment Method],RANDBETWEEN(1,5))</f>
        <v>Net Banking</v>
      </c>
    </row>
    <row r="477" spans="1:10" x14ac:dyDescent="0.3">
      <c r="A477" t="str">
        <f t="shared" si="23"/>
        <v>O0476</v>
      </c>
      <c r="B477" s="6">
        <f ca="1">Orders[[#This Row],[Discount%]]</f>
        <v>0.18</v>
      </c>
      <c r="C477" t="str" cm="1">
        <f t="array" aca="1" ref="C477" ca="1">INDEX(Customers[Customer ID],RANDBETWEEN(1,200))</f>
        <v>C169</v>
      </c>
      <c r="D477" t="str" cm="1">
        <f t="array" aca="1" ref="D477" ca="1">INDEX(Products[Product ID],RANDBETWEEN(1,50))</f>
        <v>P003</v>
      </c>
      <c r="E477" t="str" cm="1">
        <f t="array" aca="1" ref="E477" ca="1">INDEX(Warehouses[Warehouse ID],RANDBETWEEN(1,8))</f>
        <v>W003</v>
      </c>
      <c r="F477">
        <f t="shared" ca="1" si="21"/>
        <v>6</v>
      </c>
      <c r="G477">
        <f ca="1">_xlfn.XLOOKUP(Orders[[#This Row],[Product ID]],Products[Product ID],Products[Selling Price])</f>
        <v>900</v>
      </c>
      <c r="H477" s="6">
        <f t="shared" ca="1" si="22"/>
        <v>0.18</v>
      </c>
      <c r="I477">
        <f ca="1">Orders[[#This Row],[Quantity]]*Orders[[#This Row],[Unit Price]]*(1-Orders[[#This Row],[Discount%]])</f>
        <v>4428</v>
      </c>
      <c r="J477" t="str" cm="1">
        <f t="array" aca="1" ref="J477" ca="1">INDEX(PaymentMethods[Payment Method],RANDBETWEEN(1,5))</f>
        <v>Credit Card</v>
      </c>
    </row>
    <row r="478" spans="1:10" x14ac:dyDescent="0.3">
      <c r="A478" t="str">
        <f t="shared" si="23"/>
        <v>O0477</v>
      </c>
      <c r="B478" s="6">
        <f ca="1">Orders[[#This Row],[Discount%]]</f>
        <v>0.2</v>
      </c>
      <c r="C478" t="str" cm="1">
        <f t="array" aca="1" ref="C478" ca="1">INDEX(Customers[Customer ID],RANDBETWEEN(1,200))</f>
        <v>C030</v>
      </c>
      <c r="D478" t="str" cm="1">
        <f t="array" aca="1" ref="D478" ca="1">INDEX(Products[Product ID],RANDBETWEEN(1,50))</f>
        <v>P029</v>
      </c>
      <c r="E478" t="str" cm="1">
        <f t="array" aca="1" ref="E478" ca="1">INDEX(Warehouses[Warehouse ID],RANDBETWEEN(1,8))</f>
        <v>W005</v>
      </c>
      <c r="F478">
        <f t="shared" ca="1" si="21"/>
        <v>10</v>
      </c>
      <c r="G478">
        <f ca="1">_xlfn.XLOOKUP(Orders[[#This Row],[Product ID]],Products[Product ID],Products[Selling Price])</f>
        <v>3200</v>
      </c>
      <c r="H478" s="6">
        <f t="shared" ca="1" si="22"/>
        <v>0.2</v>
      </c>
      <c r="I478">
        <f ca="1">Orders[[#This Row],[Quantity]]*Orders[[#This Row],[Unit Price]]*(1-Orders[[#This Row],[Discount%]])</f>
        <v>25600</v>
      </c>
      <c r="J478" t="str" cm="1">
        <f t="array" aca="1" ref="J478" ca="1">INDEX(PaymentMethods[Payment Method],RANDBETWEEN(1,5))</f>
        <v>Net Banking</v>
      </c>
    </row>
    <row r="479" spans="1:10" x14ac:dyDescent="0.3">
      <c r="A479" t="str">
        <f t="shared" si="23"/>
        <v>O0478</v>
      </c>
      <c r="B479" s="6">
        <f ca="1">Orders[[#This Row],[Discount%]]</f>
        <v>0.11</v>
      </c>
      <c r="C479" t="str" cm="1">
        <f t="array" aca="1" ref="C479" ca="1">INDEX(Customers[Customer ID],RANDBETWEEN(1,200))</f>
        <v>C016</v>
      </c>
      <c r="D479" t="str" cm="1">
        <f t="array" aca="1" ref="D479" ca="1">INDEX(Products[Product ID],RANDBETWEEN(1,50))</f>
        <v>P025</v>
      </c>
      <c r="E479" t="str" cm="1">
        <f t="array" aca="1" ref="E479" ca="1">INDEX(Warehouses[Warehouse ID],RANDBETWEEN(1,8))</f>
        <v>W001</v>
      </c>
      <c r="F479">
        <f t="shared" ca="1" si="21"/>
        <v>8</v>
      </c>
      <c r="G479">
        <f ca="1">_xlfn.XLOOKUP(Orders[[#This Row],[Product ID]],Products[Product ID],Products[Selling Price])</f>
        <v>1800</v>
      </c>
      <c r="H479" s="6">
        <f t="shared" ca="1" si="22"/>
        <v>0.11</v>
      </c>
      <c r="I479">
        <f ca="1">Orders[[#This Row],[Quantity]]*Orders[[#This Row],[Unit Price]]*(1-Orders[[#This Row],[Discount%]])</f>
        <v>12816</v>
      </c>
      <c r="J479" t="str" cm="1">
        <f t="array" aca="1" ref="J479" ca="1">INDEX(PaymentMethods[Payment Method],RANDBETWEEN(1,5))</f>
        <v>Credit Card</v>
      </c>
    </row>
    <row r="480" spans="1:10" x14ac:dyDescent="0.3">
      <c r="A480" t="str">
        <f t="shared" si="23"/>
        <v>O0479</v>
      </c>
      <c r="B480" s="6">
        <f ca="1">Orders[[#This Row],[Discount%]]</f>
        <v>0.17</v>
      </c>
      <c r="C480" t="str" cm="1">
        <f t="array" aca="1" ref="C480" ca="1">INDEX(Customers[Customer ID],RANDBETWEEN(1,200))</f>
        <v>C141</v>
      </c>
      <c r="D480" t="str" cm="1">
        <f t="array" aca="1" ref="D480" ca="1">INDEX(Products[Product ID],RANDBETWEEN(1,50))</f>
        <v>P014</v>
      </c>
      <c r="E480" t="str" cm="1">
        <f t="array" aca="1" ref="E480" ca="1">INDEX(Warehouses[Warehouse ID],RANDBETWEEN(1,8))</f>
        <v>W002</v>
      </c>
      <c r="F480">
        <f t="shared" ca="1" si="21"/>
        <v>4</v>
      </c>
      <c r="G480">
        <f ca="1">_xlfn.XLOOKUP(Orders[[#This Row],[Product ID]],Products[Product ID],Products[Selling Price])</f>
        <v>800</v>
      </c>
      <c r="H480" s="6">
        <f t="shared" ca="1" si="22"/>
        <v>0.17</v>
      </c>
      <c r="I480">
        <f ca="1">Orders[[#This Row],[Quantity]]*Orders[[#This Row],[Unit Price]]*(1-Orders[[#This Row],[Discount%]])</f>
        <v>2656</v>
      </c>
      <c r="J480" t="str" cm="1">
        <f t="array" aca="1" ref="J480" ca="1">INDEX(PaymentMethods[Payment Method],RANDBETWEEN(1,5))</f>
        <v>Credit Card</v>
      </c>
    </row>
    <row r="481" spans="1:10" x14ac:dyDescent="0.3">
      <c r="A481" t="str">
        <f t="shared" si="23"/>
        <v>O0480</v>
      </c>
      <c r="B481" s="6">
        <f ca="1">Orders[[#This Row],[Discount%]]</f>
        <v>0.12</v>
      </c>
      <c r="C481" t="str" cm="1">
        <f t="array" aca="1" ref="C481" ca="1">INDEX(Customers[Customer ID],RANDBETWEEN(1,200))</f>
        <v>C132</v>
      </c>
      <c r="D481" t="str" cm="1">
        <f t="array" aca="1" ref="D481" ca="1">INDEX(Products[Product ID],RANDBETWEEN(1,50))</f>
        <v>P004</v>
      </c>
      <c r="E481" t="str" cm="1">
        <f t="array" aca="1" ref="E481" ca="1">INDEX(Warehouses[Warehouse ID],RANDBETWEEN(1,8))</f>
        <v>W006</v>
      </c>
      <c r="F481">
        <f t="shared" ca="1" si="21"/>
        <v>3</v>
      </c>
      <c r="G481">
        <f ca="1">_xlfn.XLOOKUP(Orders[[#This Row],[Product ID]],Products[Product ID],Products[Selling Price])</f>
        <v>9000</v>
      </c>
      <c r="H481" s="6">
        <f t="shared" ca="1" si="22"/>
        <v>0.12</v>
      </c>
      <c r="I481">
        <f ca="1">Orders[[#This Row],[Quantity]]*Orders[[#This Row],[Unit Price]]*(1-Orders[[#This Row],[Discount%]])</f>
        <v>23760</v>
      </c>
      <c r="J481" t="str" cm="1">
        <f t="array" aca="1" ref="J481" ca="1">INDEX(PaymentMethods[Payment Method],RANDBETWEEN(1,5))</f>
        <v>Credit Card</v>
      </c>
    </row>
    <row r="482" spans="1:10" x14ac:dyDescent="0.3">
      <c r="A482" t="str">
        <f t="shared" si="23"/>
        <v>O0481</v>
      </c>
      <c r="B482" s="6">
        <f ca="1">Orders[[#This Row],[Discount%]]</f>
        <v>0.17</v>
      </c>
      <c r="C482" t="str" cm="1">
        <f t="array" aca="1" ref="C482" ca="1">INDEX(Customers[Customer ID],RANDBETWEEN(1,200))</f>
        <v>C098</v>
      </c>
      <c r="D482" t="str" cm="1">
        <f t="array" aca="1" ref="D482" ca="1">INDEX(Products[Product ID],RANDBETWEEN(1,50))</f>
        <v>P018</v>
      </c>
      <c r="E482" t="str" cm="1">
        <f t="array" aca="1" ref="E482" ca="1">INDEX(Warehouses[Warehouse ID],RANDBETWEEN(1,8))</f>
        <v>W004</v>
      </c>
      <c r="F482">
        <f t="shared" ca="1" si="21"/>
        <v>6</v>
      </c>
      <c r="G482">
        <f ca="1">_xlfn.XLOOKUP(Orders[[#This Row],[Product ID]],Products[Product ID],Products[Selling Price])</f>
        <v>1500</v>
      </c>
      <c r="H482" s="6">
        <f t="shared" ca="1" si="22"/>
        <v>0.17</v>
      </c>
      <c r="I482">
        <f ca="1">Orders[[#This Row],[Quantity]]*Orders[[#This Row],[Unit Price]]*(1-Orders[[#This Row],[Discount%]])</f>
        <v>7470</v>
      </c>
      <c r="J482" t="str" cm="1">
        <f t="array" aca="1" ref="J482" ca="1">INDEX(PaymentMethods[Payment Method],RANDBETWEEN(1,5))</f>
        <v>Debit Card</v>
      </c>
    </row>
    <row r="483" spans="1:10" x14ac:dyDescent="0.3">
      <c r="A483" t="str">
        <f t="shared" si="23"/>
        <v>O0482</v>
      </c>
      <c r="B483" s="6">
        <f ca="1">Orders[[#This Row],[Discount%]]</f>
        <v>0.19</v>
      </c>
      <c r="C483" t="str" cm="1">
        <f t="array" aca="1" ref="C483" ca="1">INDEX(Customers[Customer ID],RANDBETWEEN(1,200))</f>
        <v>C091</v>
      </c>
      <c r="D483" t="str" cm="1">
        <f t="array" aca="1" ref="D483" ca="1">INDEX(Products[Product ID],RANDBETWEEN(1,50))</f>
        <v>P001</v>
      </c>
      <c r="E483" t="str" cm="1">
        <f t="array" aca="1" ref="E483" ca="1">INDEX(Warehouses[Warehouse ID],RANDBETWEEN(1,8))</f>
        <v>W005</v>
      </c>
      <c r="F483">
        <f t="shared" ca="1" si="21"/>
        <v>9</v>
      </c>
      <c r="G483">
        <f ca="1">_xlfn.XLOOKUP(Orders[[#This Row],[Product ID]],Products[Product ID],Products[Selling Price])</f>
        <v>42000</v>
      </c>
      <c r="H483" s="6">
        <f t="shared" ca="1" si="22"/>
        <v>0.19</v>
      </c>
      <c r="I483">
        <f ca="1">Orders[[#This Row],[Quantity]]*Orders[[#This Row],[Unit Price]]*(1-Orders[[#This Row],[Discount%]])</f>
        <v>306180</v>
      </c>
      <c r="J483" t="str" cm="1">
        <f t="array" aca="1" ref="J483" ca="1">INDEX(PaymentMethods[Payment Method],RANDBETWEEN(1,5))</f>
        <v>Net Banking</v>
      </c>
    </row>
    <row r="484" spans="1:10" x14ac:dyDescent="0.3">
      <c r="A484" t="str">
        <f t="shared" si="23"/>
        <v>O0483</v>
      </c>
      <c r="B484" s="6">
        <f ca="1">Orders[[#This Row],[Discount%]]</f>
        <v>0.02</v>
      </c>
      <c r="C484" t="str" cm="1">
        <f t="array" aca="1" ref="C484" ca="1">INDEX(Customers[Customer ID],RANDBETWEEN(1,200))</f>
        <v>C101</v>
      </c>
      <c r="D484" t="str" cm="1">
        <f t="array" aca="1" ref="D484" ca="1">INDEX(Products[Product ID],RANDBETWEEN(1,50))</f>
        <v>P007</v>
      </c>
      <c r="E484" t="str" cm="1">
        <f t="array" aca="1" ref="E484" ca="1">INDEX(Warehouses[Warehouse ID],RANDBETWEEN(1,8))</f>
        <v>W006</v>
      </c>
      <c r="F484">
        <f t="shared" ca="1" si="21"/>
        <v>4</v>
      </c>
      <c r="G484">
        <f ca="1">_xlfn.XLOOKUP(Orders[[#This Row],[Product ID]],Products[Product ID],Products[Selling Price])</f>
        <v>6000</v>
      </c>
      <c r="H484" s="6">
        <f t="shared" ca="1" si="22"/>
        <v>0.02</v>
      </c>
      <c r="I484">
        <f ca="1">Orders[[#This Row],[Quantity]]*Orders[[#This Row],[Unit Price]]*(1-Orders[[#This Row],[Discount%]])</f>
        <v>23520</v>
      </c>
      <c r="J484" t="str" cm="1">
        <f t="array" aca="1" ref="J484" ca="1">INDEX(PaymentMethods[Payment Method],RANDBETWEEN(1,5))</f>
        <v>Credit Card</v>
      </c>
    </row>
    <row r="485" spans="1:10" x14ac:dyDescent="0.3">
      <c r="A485" t="str">
        <f t="shared" si="23"/>
        <v>O0484</v>
      </c>
      <c r="B485" s="6">
        <f ca="1">Orders[[#This Row],[Discount%]]</f>
        <v>0.13</v>
      </c>
      <c r="C485" t="str" cm="1">
        <f t="array" aca="1" ref="C485" ca="1">INDEX(Customers[Customer ID],RANDBETWEEN(1,200))</f>
        <v>C108</v>
      </c>
      <c r="D485" t="str" cm="1">
        <f t="array" aca="1" ref="D485" ca="1">INDEX(Products[Product ID],RANDBETWEEN(1,50))</f>
        <v>P002</v>
      </c>
      <c r="E485" t="str" cm="1">
        <f t="array" aca="1" ref="E485" ca="1">INDEX(Warehouses[Warehouse ID],RANDBETWEEN(1,8))</f>
        <v>W005</v>
      </c>
      <c r="F485">
        <f t="shared" ca="1" si="21"/>
        <v>10</v>
      </c>
      <c r="G485">
        <f ca="1">_xlfn.XLOOKUP(Orders[[#This Row],[Product ID]],Products[Product ID],Products[Selling Price])</f>
        <v>550</v>
      </c>
      <c r="H485" s="6">
        <f t="shared" ca="1" si="22"/>
        <v>0.13</v>
      </c>
      <c r="I485">
        <f ca="1">Orders[[#This Row],[Quantity]]*Orders[[#This Row],[Unit Price]]*(1-Orders[[#This Row],[Discount%]])</f>
        <v>4785</v>
      </c>
      <c r="J485" t="str" cm="1">
        <f t="array" aca="1" ref="J485" ca="1">INDEX(PaymentMethods[Payment Method],RANDBETWEEN(1,5))</f>
        <v>Net Banking</v>
      </c>
    </row>
    <row r="486" spans="1:10" x14ac:dyDescent="0.3">
      <c r="A486" t="str">
        <f t="shared" si="23"/>
        <v>O0485</v>
      </c>
      <c r="B486" s="6">
        <f ca="1">Orders[[#This Row],[Discount%]]</f>
        <v>0.11</v>
      </c>
      <c r="C486" t="str" cm="1">
        <f t="array" aca="1" ref="C486" ca="1">INDEX(Customers[Customer ID],RANDBETWEEN(1,200))</f>
        <v>C193</v>
      </c>
      <c r="D486" t="str" cm="1">
        <f t="array" aca="1" ref="D486" ca="1">INDEX(Products[Product ID],RANDBETWEEN(1,50))</f>
        <v>P041</v>
      </c>
      <c r="E486" t="str" cm="1">
        <f t="array" aca="1" ref="E486" ca="1">INDEX(Warehouses[Warehouse ID],RANDBETWEEN(1,8))</f>
        <v>W005</v>
      </c>
      <c r="F486">
        <f t="shared" ca="1" si="21"/>
        <v>7</v>
      </c>
      <c r="G486">
        <f ca="1">_xlfn.XLOOKUP(Orders[[#This Row],[Product ID]],Products[Product ID],Products[Selling Price])</f>
        <v>36000</v>
      </c>
      <c r="H486" s="6">
        <f t="shared" ca="1" si="22"/>
        <v>0.11</v>
      </c>
      <c r="I486">
        <f ca="1">Orders[[#This Row],[Quantity]]*Orders[[#This Row],[Unit Price]]*(1-Orders[[#This Row],[Discount%]])</f>
        <v>224280</v>
      </c>
      <c r="J486" t="str" cm="1">
        <f t="array" aca="1" ref="J486" ca="1">INDEX(PaymentMethods[Payment Method],RANDBETWEEN(1,5))</f>
        <v>Net Banking</v>
      </c>
    </row>
    <row r="487" spans="1:10" x14ac:dyDescent="0.3">
      <c r="A487" t="str">
        <f t="shared" si="23"/>
        <v>O0486</v>
      </c>
      <c r="B487" s="6">
        <f ca="1">Orders[[#This Row],[Discount%]]</f>
        <v>0.13</v>
      </c>
      <c r="C487" t="str" cm="1">
        <f t="array" aca="1" ref="C487" ca="1">INDEX(Customers[Customer ID],RANDBETWEEN(1,200))</f>
        <v>C035</v>
      </c>
      <c r="D487" t="str" cm="1">
        <f t="array" aca="1" ref="D487" ca="1">INDEX(Products[Product ID],RANDBETWEEN(1,50))</f>
        <v>P018</v>
      </c>
      <c r="E487" t="str" cm="1">
        <f t="array" aca="1" ref="E487" ca="1">INDEX(Warehouses[Warehouse ID],RANDBETWEEN(1,8))</f>
        <v>W007</v>
      </c>
      <c r="F487">
        <f t="shared" ca="1" si="21"/>
        <v>6</v>
      </c>
      <c r="G487">
        <f ca="1">_xlfn.XLOOKUP(Orders[[#This Row],[Product ID]],Products[Product ID],Products[Selling Price])</f>
        <v>1500</v>
      </c>
      <c r="H487" s="6">
        <f t="shared" ca="1" si="22"/>
        <v>0.13</v>
      </c>
      <c r="I487">
        <f ca="1">Orders[[#This Row],[Quantity]]*Orders[[#This Row],[Unit Price]]*(1-Orders[[#This Row],[Discount%]])</f>
        <v>7830</v>
      </c>
      <c r="J487" t="str" cm="1">
        <f t="array" aca="1" ref="J487" ca="1">INDEX(PaymentMethods[Payment Method],RANDBETWEEN(1,5))</f>
        <v>UPI</v>
      </c>
    </row>
    <row r="488" spans="1:10" x14ac:dyDescent="0.3">
      <c r="A488" t="str">
        <f t="shared" si="23"/>
        <v>O0487</v>
      </c>
      <c r="B488" s="6">
        <f ca="1">Orders[[#This Row],[Discount%]]</f>
        <v>0.1</v>
      </c>
      <c r="C488" t="str" cm="1">
        <f t="array" aca="1" ref="C488" ca="1">INDEX(Customers[Customer ID],RANDBETWEEN(1,200))</f>
        <v>C079</v>
      </c>
      <c r="D488" t="str" cm="1">
        <f t="array" aca="1" ref="D488" ca="1">INDEX(Products[Product ID],RANDBETWEEN(1,50))</f>
        <v>P011</v>
      </c>
      <c r="E488" t="str" cm="1">
        <f t="array" aca="1" ref="E488" ca="1">INDEX(Warehouses[Warehouse ID],RANDBETWEEN(1,8))</f>
        <v>W001</v>
      </c>
      <c r="F488">
        <f t="shared" ca="1" si="21"/>
        <v>7</v>
      </c>
      <c r="G488">
        <f ca="1">_xlfn.XLOOKUP(Orders[[#This Row],[Product ID]],Products[Product ID],Products[Selling Price])</f>
        <v>1200</v>
      </c>
      <c r="H488" s="6">
        <f t="shared" ca="1" si="22"/>
        <v>0.1</v>
      </c>
      <c r="I488">
        <f ca="1">Orders[[#This Row],[Quantity]]*Orders[[#This Row],[Unit Price]]*(1-Orders[[#This Row],[Discount%]])</f>
        <v>7560</v>
      </c>
      <c r="J488" t="str" cm="1">
        <f t="array" aca="1" ref="J488" ca="1">INDEX(PaymentMethods[Payment Method],RANDBETWEEN(1,5))</f>
        <v>Credit Card</v>
      </c>
    </row>
    <row r="489" spans="1:10" x14ac:dyDescent="0.3">
      <c r="A489" t="str">
        <f t="shared" si="23"/>
        <v>O0488</v>
      </c>
      <c r="B489" s="6">
        <f ca="1">Orders[[#This Row],[Discount%]]</f>
        <v>0.19</v>
      </c>
      <c r="C489" t="str" cm="1">
        <f t="array" aca="1" ref="C489" ca="1">INDEX(Customers[Customer ID],RANDBETWEEN(1,200))</f>
        <v>C054</v>
      </c>
      <c r="D489" t="str" cm="1">
        <f t="array" aca="1" ref="D489" ca="1">INDEX(Products[Product ID],RANDBETWEEN(1,50))</f>
        <v>P038</v>
      </c>
      <c r="E489" t="str" cm="1">
        <f t="array" aca="1" ref="E489" ca="1">INDEX(Warehouses[Warehouse ID],RANDBETWEEN(1,8))</f>
        <v>W007</v>
      </c>
      <c r="F489">
        <f t="shared" ca="1" si="21"/>
        <v>10</v>
      </c>
      <c r="G489">
        <f ca="1">_xlfn.XLOOKUP(Orders[[#This Row],[Product ID]],Products[Product ID],Products[Selling Price])</f>
        <v>1500</v>
      </c>
      <c r="H489" s="6">
        <f t="shared" ca="1" si="22"/>
        <v>0.19</v>
      </c>
      <c r="I489">
        <f ca="1">Orders[[#This Row],[Quantity]]*Orders[[#This Row],[Unit Price]]*(1-Orders[[#This Row],[Discount%]])</f>
        <v>12150</v>
      </c>
      <c r="J489" t="str" cm="1">
        <f t="array" aca="1" ref="J489" ca="1">INDEX(PaymentMethods[Payment Method],RANDBETWEEN(1,5))</f>
        <v>Credit Card</v>
      </c>
    </row>
    <row r="490" spans="1:10" x14ac:dyDescent="0.3">
      <c r="A490" t="str">
        <f t="shared" si="23"/>
        <v>O0489</v>
      </c>
      <c r="B490" s="6">
        <f ca="1">Orders[[#This Row],[Discount%]]</f>
        <v>0.16</v>
      </c>
      <c r="C490" t="str" cm="1">
        <f t="array" aca="1" ref="C490" ca="1">INDEX(Customers[Customer ID],RANDBETWEEN(1,200))</f>
        <v>C147</v>
      </c>
      <c r="D490" t="str" cm="1">
        <f t="array" aca="1" ref="D490" ca="1">INDEX(Products[Product ID],RANDBETWEEN(1,50))</f>
        <v>P004</v>
      </c>
      <c r="E490" t="str" cm="1">
        <f t="array" aca="1" ref="E490" ca="1">INDEX(Warehouses[Warehouse ID],RANDBETWEEN(1,8))</f>
        <v>W003</v>
      </c>
      <c r="F490">
        <f t="shared" ca="1" si="21"/>
        <v>5</v>
      </c>
      <c r="G490">
        <f ca="1">_xlfn.XLOOKUP(Orders[[#This Row],[Product ID]],Products[Product ID],Products[Selling Price])</f>
        <v>9000</v>
      </c>
      <c r="H490" s="6">
        <f t="shared" ca="1" si="22"/>
        <v>0.16</v>
      </c>
      <c r="I490">
        <f ca="1">Orders[[#This Row],[Quantity]]*Orders[[#This Row],[Unit Price]]*(1-Orders[[#This Row],[Discount%]])</f>
        <v>37800</v>
      </c>
      <c r="J490" t="str" cm="1">
        <f t="array" aca="1" ref="J490" ca="1">INDEX(PaymentMethods[Payment Method],RANDBETWEEN(1,5))</f>
        <v>Debit Card</v>
      </c>
    </row>
    <row r="491" spans="1:10" x14ac:dyDescent="0.3">
      <c r="A491" t="str">
        <f t="shared" si="23"/>
        <v>O0490</v>
      </c>
      <c r="B491" s="6">
        <f ca="1">Orders[[#This Row],[Discount%]]</f>
        <v>0.03</v>
      </c>
      <c r="C491" t="str" cm="1">
        <f t="array" aca="1" ref="C491" ca="1">INDEX(Customers[Customer ID],RANDBETWEEN(1,200))</f>
        <v>C182</v>
      </c>
      <c r="D491" t="str" cm="1">
        <f t="array" aca="1" ref="D491" ca="1">INDEX(Products[Product ID],RANDBETWEEN(1,50))</f>
        <v>P002</v>
      </c>
      <c r="E491" t="str" cm="1">
        <f t="array" aca="1" ref="E491" ca="1">INDEX(Warehouses[Warehouse ID],RANDBETWEEN(1,8))</f>
        <v>W003</v>
      </c>
      <c r="F491">
        <f t="shared" ca="1" si="21"/>
        <v>1</v>
      </c>
      <c r="G491">
        <f ca="1">_xlfn.XLOOKUP(Orders[[#This Row],[Product ID]],Products[Product ID],Products[Selling Price])</f>
        <v>550</v>
      </c>
      <c r="H491" s="6">
        <f t="shared" ca="1" si="22"/>
        <v>0.03</v>
      </c>
      <c r="I491">
        <f ca="1">Orders[[#This Row],[Quantity]]*Orders[[#This Row],[Unit Price]]*(1-Orders[[#This Row],[Discount%]])</f>
        <v>533.5</v>
      </c>
      <c r="J491" t="str" cm="1">
        <f t="array" aca="1" ref="J491" ca="1">INDEX(PaymentMethods[Payment Method],RANDBETWEEN(1,5))</f>
        <v>Net Banking</v>
      </c>
    </row>
    <row r="492" spans="1:10" x14ac:dyDescent="0.3">
      <c r="A492" t="str">
        <f t="shared" si="23"/>
        <v>O0491</v>
      </c>
      <c r="B492" s="6">
        <f ca="1">Orders[[#This Row],[Discount%]]</f>
        <v>0.2</v>
      </c>
      <c r="C492" t="str" cm="1">
        <f t="array" aca="1" ref="C492" ca="1">INDEX(Customers[Customer ID],RANDBETWEEN(1,200))</f>
        <v>C027</v>
      </c>
      <c r="D492" t="str" cm="1">
        <f t="array" aca="1" ref="D492" ca="1">INDEX(Products[Product ID],RANDBETWEEN(1,50))</f>
        <v>P017</v>
      </c>
      <c r="E492" t="str" cm="1">
        <f t="array" aca="1" ref="E492" ca="1">INDEX(Warehouses[Warehouse ID],RANDBETWEEN(1,8))</f>
        <v>W006</v>
      </c>
      <c r="F492">
        <f t="shared" ca="1" si="21"/>
        <v>9</v>
      </c>
      <c r="G492">
        <f ca="1">_xlfn.XLOOKUP(Orders[[#This Row],[Product ID]],Products[Product ID],Products[Selling Price])</f>
        <v>650</v>
      </c>
      <c r="H492" s="6">
        <f t="shared" ca="1" si="22"/>
        <v>0.2</v>
      </c>
      <c r="I492">
        <f ca="1">Orders[[#This Row],[Quantity]]*Orders[[#This Row],[Unit Price]]*(1-Orders[[#This Row],[Discount%]])</f>
        <v>4680</v>
      </c>
      <c r="J492" t="str" cm="1">
        <f t="array" aca="1" ref="J492" ca="1">INDEX(PaymentMethods[Payment Method],RANDBETWEEN(1,5))</f>
        <v>Debit Card</v>
      </c>
    </row>
    <row r="493" spans="1:10" x14ac:dyDescent="0.3">
      <c r="A493" t="str">
        <f t="shared" si="23"/>
        <v>O0492</v>
      </c>
      <c r="B493" s="6">
        <f ca="1">Orders[[#This Row],[Discount%]]</f>
        <v>0.12</v>
      </c>
      <c r="C493" t="str" cm="1">
        <f t="array" aca="1" ref="C493" ca="1">INDEX(Customers[Customer ID],RANDBETWEEN(1,200))</f>
        <v>C111</v>
      </c>
      <c r="D493" t="str" cm="1">
        <f t="array" aca="1" ref="D493" ca="1">INDEX(Products[Product ID],RANDBETWEEN(1,50))</f>
        <v>P023</v>
      </c>
      <c r="E493" t="str" cm="1">
        <f t="array" aca="1" ref="E493" ca="1">INDEX(Warehouses[Warehouse ID],RANDBETWEEN(1,8))</f>
        <v>W006</v>
      </c>
      <c r="F493">
        <f t="shared" ca="1" si="21"/>
        <v>6</v>
      </c>
      <c r="G493">
        <f ca="1">_xlfn.XLOOKUP(Orders[[#This Row],[Product ID]],Products[Product ID],Products[Selling Price])</f>
        <v>2300</v>
      </c>
      <c r="H493" s="6">
        <f t="shared" ca="1" si="22"/>
        <v>0.12</v>
      </c>
      <c r="I493">
        <f ca="1">Orders[[#This Row],[Quantity]]*Orders[[#This Row],[Unit Price]]*(1-Orders[[#This Row],[Discount%]])</f>
        <v>12144</v>
      </c>
      <c r="J493" t="str" cm="1">
        <f t="array" aca="1" ref="J493" ca="1">INDEX(PaymentMethods[Payment Method],RANDBETWEEN(1,5))</f>
        <v>Debit Card</v>
      </c>
    </row>
    <row r="494" spans="1:10" x14ac:dyDescent="0.3">
      <c r="A494" t="str">
        <f t="shared" si="23"/>
        <v>O0493</v>
      </c>
      <c r="B494" s="6">
        <f ca="1">Orders[[#This Row],[Discount%]]</f>
        <v>0.03</v>
      </c>
      <c r="C494" t="str" cm="1">
        <f t="array" aca="1" ref="C494" ca="1">INDEX(Customers[Customer ID],RANDBETWEEN(1,200))</f>
        <v>C077</v>
      </c>
      <c r="D494" t="str" cm="1">
        <f t="array" aca="1" ref="D494" ca="1">INDEX(Products[Product ID],RANDBETWEEN(1,50))</f>
        <v>P024</v>
      </c>
      <c r="E494" t="str" cm="1">
        <f t="array" aca="1" ref="E494" ca="1">INDEX(Warehouses[Warehouse ID],RANDBETWEEN(1,8))</f>
        <v>W003</v>
      </c>
      <c r="F494">
        <f t="shared" ca="1" si="21"/>
        <v>7</v>
      </c>
      <c r="G494">
        <f ca="1">_xlfn.XLOOKUP(Orders[[#This Row],[Product ID]],Products[Product ID],Products[Selling Price])</f>
        <v>1700</v>
      </c>
      <c r="H494" s="6">
        <f t="shared" ca="1" si="22"/>
        <v>0.03</v>
      </c>
      <c r="I494">
        <f ca="1">Orders[[#This Row],[Quantity]]*Orders[[#This Row],[Unit Price]]*(1-Orders[[#This Row],[Discount%]])</f>
        <v>11543</v>
      </c>
      <c r="J494" t="str" cm="1">
        <f t="array" aca="1" ref="J494" ca="1">INDEX(PaymentMethods[Payment Method],RANDBETWEEN(1,5))</f>
        <v>Cash</v>
      </c>
    </row>
    <row r="495" spans="1:10" x14ac:dyDescent="0.3">
      <c r="A495" t="str">
        <f t="shared" si="23"/>
        <v>O0494</v>
      </c>
      <c r="B495" s="6">
        <f ca="1">Orders[[#This Row],[Discount%]]</f>
        <v>0.14000000000000001</v>
      </c>
      <c r="C495" t="str" cm="1">
        <f t="array" aca="1" ref="C495" ca="1">INDEX(Customers[Customer ID],RANDBETWEEN(1,200))</f>
        <v>C199</v>
      </c>
      <c r="D495" t="str" cm="1">
        <f t="array" aca="1" ref="D495" ca="1">INDEX(Products[Product ID],RANDBETWEEN(1,50))</f>
        <v>P049</v>
      </c>
      <c r="E495" t="str" cm="1">
        <f t="array" aca="1" ref="E495" ca="1">INDEX(Warehouses[Warehouse ID],RANDBETWEEN(1,8))</f>
        <v>W002</v>
      </c>
      <c r="F495">
        <f t="shared" ca="1" si="21"/>
        <v>3</v>
      </c>
      <c r="G495">
        <f ca="1">_xlfn.XLOOKUP(Orders[[#This Row],[Product ID]],Products[Product ID],Products[Selling Price])</f>
        <v>3800</v>
      </c>
      <c r="H495" s="6">
        <f t="shared" ca="1" si="22"/>
        <v>0.14000000000000001</v>
      </c>
      <c r="I495">
        <f ca="1">Orders[[#This Row],[Quantity]]*Orders[[#This Row],[Unit Price]]*(1-Orders[[#This Row],[Discount%]])</f>
        <v>9804</v>
      </c>
      <c r="J495" t="str" cm="1">
        <f t="array" aca="1" ref="J495" ca="1">INDEX(PaymentMethods[Payment Method],RANDBETWEEN(1,5))</f>
        <v>Debit Card</v>
      </c>
    </row>
    <row r="496" spans="1:10" x14ac:dyDescent="0.3">
      <c r="A496" t="str">
        <f t="shared" si="23"/>
        <v>O0495</v>
      </c>
      <c r="B496" s="6">
        <f ca="1">Orders[[#This Row],[Discount%]]</f>
        <v>0.1</v>
      </c>
      <c r="C496" t="str" cm="1">
        <f t="array" aca="1" ref="C496" ca="1">INDEX(Customers[Customer ID],RANDBETWEEN(1,200))</f>
        <v>C164</v>
      </c>
      <c r="D496" t="str" cm="1">
        <f t="array" aca="1" ref="D496" ca="1">INDEX(Products[Product ID],RANDBETWEEN(1,50))</f>
        <v>P026</v>
      </c>
      <c r="E496" t="str" cm="1">
        <f t="array" aca="1" ref="E496" ca="1">INDEX(Warehouses[Warehouse ID],RANDBETWEEN(1,8))</f>
        <v>W006</v>
      </c>
      <c r="F496">
        <f t="shared" ca="1" si="21"/>
        <v>6</v>
      </c>
      <c r="G496">
        <f ca="1">_xlfn.XLOOKUP(Orders[[#This Row],[Product ID]],Products[Product ID],Products[Selling Price])</f>
        <v>650</v>
      </c>
      <c r="H496" s="6">
        <f t="shared" ca="1" si="22"/>
        <v>0.1</v>
      </c>
      <c r="I496">
        <f ca="1">Orders[[#This Row],[Quantity]]*Orders[[#This Row],[Unit Price]]*(1-Orders[[#This Row],[Discount%]])</f>
        <v>3510</v>
      </c>
      <c r="J496" t="str" cm="1">
        <f t="array" aca="1" ref="J496" ca="1">INDEX(PaymentMethods[Payment Method],RANDBETWEEN(1,5))</f>
        <v>Net Banking</v>
      </c>
    </row>
    <row r="497" spans="1:10" x14ac:dyDescent="0.3">
      <c r="A497" t="str">
        <f t="shared" si="23"/>
        <v>O0496</v>
      </c>
      <c r="B497" s="6">
        <f ca="1">Orders[[#This Row],[Discount%]]</f>
        <v>0.04</v>
      </c>
      <c r="C497" t="str" cm="1">
        <f t="array" aca="1" ref="C497" ca="1">INDEX(Customers[Customer ID],RANDBETWEEN(1,200))</f>
        <v>C152</v>
      </c>
      <c r="D497" t="str" cm="1">
        <f t="array" aca="1" ref="D497" ca="1">INDEX(Products[Product ID],RANDBETWEEN(1,50))</f>
        <v>P019</v>
      </c>
      <c r="E497" t="str" cm="1">
        <f t="array" aca="1" ref="E497" ca="1">INDEX(Warehouses[Warehouse ID],RANDBETWEEN(1,8))</f>
        <v>W008</v>
      </c>
      <c r="F497">
        <f t="shared" ca="1" si="21"/>
        <v>6</v>
      </c>
      <c r="G497">
        <f ca="1">_xlfn.XLOOKUP(Orders[[#This Row],[Product ID]],Products[Product ID],Products[Selling Price])</f>
        <v>950</v>
      </c>
      <c r="H497" s="6">
        <f t="shared" ca="1" si="22"/>
        <v>0.04</v>
      </c>
      <c r="I497">
        <f ca="1">Orders[[#This Row],[Quantity]]*Orders[[#This Row],[Unit Price]]*(1-Orders[[#This Row],[Discount%]])</f>
        <v>5472</v>
      </c>
      <c r="J497" t="str" cm="1">
        <f t="array" aca="1" ref="J497" ca="1">INDEX(PaymentMethods[Payment Method],RANDBETWEEN(1,5))</f>
        <v>Net Banking</v>
      </c>
    </row>
    <row r="498" spans="1:10" x14ac:dyDescent="0.3">
      <c r="A498" t="str">
        <f t="shared" si="23"/>
        <v>O0497</v>
      </c>
      <c r="B498" s="6">
        <f ca="1">Orders[[#This Row],[Discount%]]</f>
        <v>0.12</v>
      </c>
      <c r="C498" t="str" cm="1">
        <f t="array" aca="1" ref="C498" ca="1">INDEX(Customers[Customer ID],RANDBETWEEN(1,200))</f>
        <v>C135</v>
      </c>
      <c r="D498" t="str" cm="1">
        <f t="array" aca="1" ref="D498" ca="1">INDEX(Products[Product ID],RANDBETWEEN(1,50))</f>
        <v>P015</v>
      </c>
      <c r="E498" t="str" cm="1">
        <f t="array" aca="1" ref="E498" ca="1">INDEX(Warehouses[Warehouse ID],RANDBETWEEN(1,8))</f>
        <v>W008</v>
      </c>
      <c r="F498">
        <f t="shared" ca="1" si="21"/>
        <v>7</v>
      </c>
      <c r="G498">
        <f ca="1">_xlfn.XLOOKUP(Orders[[#This Row],[Product ID]],Products[Product ID],Products[Selling Price])</f>
        <v>1800</v>
      </c>
      <c r="H498" s="6">
        <f t="shared" ca="1" si="22"/>
        <v>0.12</v>
      </c>
      <c r="I498">
        <f ca="1">Orders[[#This Row],[Quantity]]*Orders[[#This Row],[Unit Price]]*(1-Orders[[#This Row],[Discount%]])</f>
        <v>11088</v>
      </c>
      <c r="J498" t="str" cm="1">
        <f t="array" aca="1" ref="J498" ca="1">INDEX(PaymentMethods[Payment Method],RANDBETWEEN(1,5))</f>
        <v>Debit Card</v>
      </c>
    </row>
    <row r="499" spans="1:10" x14ac:dyDescent="0.3">
      <c r="A499" t="str">
        <f t="shared" si="23"/>
        <v>O0498</v>
      </c>
      <c r="B499" s="6">
        <f ca="1">Orders[[#This Row],[Discount%]]</f>
        <v>0.1</v>
      </c>
      <c r="C499" t="str" cm="1">
        <f t="array" aca="1" ref="C499" ca="1">INDEX(Customers[Customer ID],RANDBETWEEN(1,200))</f>
        <v>C101</v>
      </c>
      <c r="D499" t="str" cm="1">
        <f t="array" aca="1" ref="D499" ca="1">INDEX(Products[Product ID],RANDBETWEEN(1,50))</f>
        <v>P013</v>
      </c>
      <c r="E499" t="str" cm="1">
        <f t="array" aca="1" ref="E499" ca="1">INDEX(Warehouses[Warehouse ID],RANDBETWEEN(1,8))</f>
        <v>W006</v>
      </c>
      <c r="F499">
        <f t="shared" ca="1" si="21"/>
        <v>4</v>
      </c>
      <c r="G499">
        <f ca="1">_xlfn.XLOOKUP(Orders[[#This Row],[Product ID]],Products[Product ID],Products[Selling Price])</f>
        <v>25</v>
      </c>
      <c r="H499" s="6">
        <f t="shared" ca="1" si="22"/>
        <v>0.1</v>
      </c>
      <c r="I499">
        <f ca="1">Orders[[#This Row],[Quantity]]*Orders[[#This Row],[Unit Price]]*(1-Orders[[#This Row],[Discount%]])</f>
        <v>90</v>
      </c>
      <c r="J499" t="str" cm="1">
        <f t="array" aca="1" ref="J499" ca="1">INDEX(PaymentMethods[Payment Method],RANDBETWEEN(1,5))</f>
        <v>Net Banking</v>
      </c>
    </row>
    <row r="500" spans="1:10" x14ac:dyDescent="0.3">
      <c r="A500" t="str">
        <f t="shared" si="23"/>
        <v>O0499</v>
      </c>
      <c r="B500" s="6">
        <f ca="1">Orders[[#This Row],[Discount%]]</f>
        <v>0.11</v>
      </c>
      <c r="C500" t="str" cm="1">
        <f t="array" aca="1" ref="C500" ca="1">INDEX(Customers[Customer ID],RANDBETWEEN(1,200))</f>
        <v>C033</v>
      </c>
      <c r="D500" t="str" cm="1">
        <f t="array" aca="1" ref="D500" ca="1">INDEX(Products[Product ID],RANDBETWEEN(1,50))</f>
        <v>P022</v>
      </c>
      <c r="E500" t="str" cm="1">
        <f t="array" aca="1" ref="E500" ca="1">INDEX(Warehouses[Warehouse ID],RANDBETWEEN(1,8))</f>
        <v>W006</v>
      </c>
      <c r="F500">
        <f t="shared" ca="1" si="21"/>
        <v>6</v>
      </c>
      <c r="G500">
        <f ca="1">_xlfn.XLOOKUP(Orders[[#This Row],[Product ID]],Products[Product ID],Products[Selling Price])</f>
        <v>5000</v>
      </c>
      <c r="H500" s="6">
        <f t="shared" ca="1" si="22"/>
        <v>0.11</v>
      </c>
      <c r="I500">
        <f ca="1">Orders[[#This Row],[Quantity]]*Orders[[#This Row],[Unit Price]]*(1-Orders[[#This Row],[Discount%]])</f>
        <v>26700</v>
      </c>
      <c r="J500" t="str" cm="1">
        <f t="array" aca="1" ref="J500" ca="1">INDEX(PaymentMethods[Payment Method],RANDBETWEEN(1,5))</f>
        <v>Debit Card</v>
      </c>
    </row>
    <row r="501" spans="1:10" x14ac:dyDescent="0.3">
      <c r="A501" t="str">
        <f t="shared" si="23"/>
        <v>O0500</v>
      </c>
      <c r="B501" s="6">
        <f ca="1">Orders[[#This Row],[Discount%]]</f>
        <v>0.18</v>
      </c>
      <c r="C501" t="str" cm="1">
        <f t="array" aca="1" ref="C501" ca="1">INDEX(Customers[Customer ID],RANDBETWEEN(1,200))</f>
        <v>C139</v>
      </c>
      <c r="D501" t="str" cm="1">
        <f t="array" aca="1" ref="D501" ca="1">INDEX(Products[Product ID],RANDBETWEEN(1,50))</f>
        <v>P024</v>
      </c>
      <c r="E501" t="str" cm="1">
        <f t="array" aca="1" ref="E501" ca="1">INDEX(Warehouses[Warehouse ID],RANDBETWEEN(1,8))</f>
        <v>W007</v>
      </c>
      <c r="F501">
        <f t="shared" ca="1" si="21"/>
        <v>3</v>
      </c>
      <c r="G501">
        <f ca="1">_xlfn.XLOOKUP(Orders[[#This Row],[Product ID]],Products[Product ID],Products[Selling Price])</f>
        <v>1700</v>
      </c>
      <c r="H501" s="6">
        <f t="shared" ca="1" si="22"/>
        <v>0.18</v>
      </c>
      <c r="I501">
        <f ca="1">Orders[[#This Row],[Quantity]]*Orders[[#This Row],[Unit Price]]*(1-Orders[[#This Row],[Discount%]])</f>
        <v>4182</v>
      </c>
      <c r="J501" t="str" cm="1">
        <f t="array" aca="1" ref="J501" ca="1">INDEX(PaymentMethods[Payment Method],RANDBETWEEN(1,5))</f>
        <v>Debit Card</v>
      </c>
    </row>
    <row r="502" spans="1:10" x14ac:dyDescent="0.3">
      <c r="A502" t="str">
        <f t="shared" si="23"/>
        <v>O0501</v>
      </c>
      <c r="B502" s="6">
        <f ca="1">Orders[[#This Row],[Discount%]]</f>
        <v>0.09</v>
      </c>
      <c r="C502" t="str" cm="1">
        <f t="array" aca="1" ref="C502" ca="1">INDEX(Customers[Customer ID],RANDBETWEEN(1,200))</f>
        <v>C011</v>
      </c>
      <c r="D502" t="str" cm="1">
        <f t="array" aca="1" ref="D502" ca="1">INDEX(Products[Product ID],RANDBETWEEN(1,50))</f>
        <v>P010</v>
      </c>
      <c r="E502" t="str" cm="1">
        <f t="array" aca="1" ref="E502" ca="1">INDEX(Warehouses[Warehouse ID],RANDBETWEEN(1,8))</f>
        <v>W007</v>
      </c>
      <c r="F502">
        <f t="shared" ca="1" si="21"/>
        <v>3</v>
      </c>
      <c r="G502">
        <f ca="1">_xlfn.XLOOKUP(Orders[[#This Row],[Product ID]],Products[Product ID],Products[Selling Price])</f>
        <v>250</v>
      </c>
      <c r="H502" s="6">
        <f t="shared" ca="1" si="22"/>
        <v>0.09</v>
      </c>
      <c r="I502">
        <f ca="1">Orders[[#This Row],[Quantity]]*Orders[[#This Row],[Unit Price]]*(1-Orders[[#This Row],[Discount%]])</f>
        <v>682.5</v>
      </c>
      <c r="J502" t="str" cm="1">
        <f t="array" aca="1" ref="J502" ca="1">INDEX(PaymentMethods[Payment Method],RANDBETWEEN(1,5))</f>
        <v>Net Banking</v>
      </c>
    </row>
    <row r="503" spans="1:10" x14ac:dyDescent="0.3">
      <c r="A503" t="str">
        <f t="shared" si="23"/>
        <v>O0502</v>
      </c>
      <c r="B503" s="6">
        <f ca="1">Orders[[#This Row],[Discount%]]</f>
        <v>0.2</v>
      </c>
      <c r="C503" t="str" cm="1">
        <f t="array" aca="1" ref="C503" ca="1">INDEX(Customers[Customer ID],RANDBETWEEN(1,200))</f>
        <v>C185</v>
      </c>
      <c r="D503" t="str" cm="1">
        <f t="array" aca="1" ref="D503" ca="1">INDEX(Products[Product ID],RANDBETWEEN(1,50))</f>
        <v>P004</v>
      </c>
      <c r="E503" t="str" cm="1">
        <f t="array" aca="1" ref="E503" ca="1">INDEX(Warehouses[Warehouse ID],RANDBETWEEN(1,8))</f>
        <v>W007</v>
      </c>
      <c r="F503">
        <f t="shared" ca="1" si="21"/>
        <v>3</v>
      </c>
      <c r="G503">
        <f ca="1">_xlfn.XLOOKUP(Orders[[#This Row],[Product ID]],Products[Product ID],Products[Selling Price])</f>
        <v>9000</v>
      </c>
      <c r="H503" s="6">
        <f t="shared" ca="1" si="22"/>
        <v>0.2</v>
      </c>
      <c r="I503">
        <f ca="1">Orders[[#This Row],[Quantity]]*Orders[[#This Row],[Unit Price]]*(1-Orders[[#This Row],[Discount%]])</f>
        <v>21600</v>
      </c>
      <c r="J503" t="str" cm="1">
        <f t="array" aca="1" ref="J503" ca="1">INDEX(PaymentMethods[Payment Method],RANDBETWEEN(1,5))</f>
        <v>Debit Card</v>
      </c>
    </row>
    <row r="504" spans="1:10" x14ac:dyDescent="0.3">
      <c r="A504" t="str">
        <f t="shared" si="23"/>
        <v>O0503</v>
      </c>
      <c r="B504" s="6">
        <f ca="1">Orders[[#This Row],[Discount%]]</f>
        <v>0.02</v>
      </c>
      <c r="C504" t="str" cm="1">
        <f t="array" aca="1" ref="C504" ca="1">INDEX(Customers[Customer ID],RANDBETWEEN(1,200))</f>
        <v>C103</v>
      </c>
      <c r="D504" t="str" cm="1">
        <f t="array" aca="1" ref="D504" ca="1">INDEX(Products[Product ID],RANDBETWEEN(1,50))</f>
        <v>P023</v>
      </c>
      <c r="E504" t="str" cm="1">
        <f t="array" aca="1" ref="E504" ca="1">INDEX(Warehouses[Warehouse ID],RANDBETWEEN(1,8))</f>
        <v>W007</v>
      </c>
      <c r="F504">
        <f t="shared" ca="1" si="21"/>
        <v>8</v>
      </c>
      <c r="G504">
        <f ca="1">_xlfn.XLOOKUP(Orders[[#This Row],[Product ID]],Products[Product ID],Products[Selling Price])</f>
        <v>2300</v>
      </c>
      <c r="H504" s="6">
        <f t="shared" ca="1" si="22"/>
        <v>0.02</v>
      </c>
      <c r="I504">
        <f ca="1">Orders[[#This Row],[Quantity]]*Orders[[#This Row],[Unit Price]]*(1-Orders[[#This Row],[Discount%]])</f>
        <v>18032</v>
      </c>
      <c r="J504" t="str" cm="1">
        <f t="array" aca="1" ref="J504" ca="1">INDEX(PaymentMethods[Payment Method],RANDBETWEEN(1,5))</f>
        <v>Credit Card</v>
      </c>
    </row>
    <row r="505" spans="1:10" x14ac:dyDescent="0.3">
      <c r="A505" t="str">
        <f t="shared" si="23"/>
        <v>O0504</v>
      </c>
      <c r="B505" s="6">
        <f ca="1">Orders[[#This Row],[Discount%]]</f>
        <v>0.02</v>
      </c>
      <c r="C505" t="str" cm="1">
        <f t="array" aca="1" ref="C505" ca="1">INDEX(Customers[Customer ID],RANDBETWEEN(1,200))</f>
        <v>C134</v>
      </c>
      <c r="D505" t="str" cm="1">
        <f t="array" aca="1" ref="D505" ca="1">INDEX(Products[Product ID],RANDBETWEEN(1,50))</f>
        <v>P034</v>
      </c>
      <c r="E505" t="str" cm="1">
        <f t="array" aca="1" ref="E505" ca="1">INDEX(Warehouses[Warehouse ID],RANDBETWEEN(1,8))</f>
        <v>W005</v>
      </c>
      <c r="F505">
        <f t="shared" ca="1" si="21"/>
        <v>8</v>
      </c>
      <c r="G505">
        <f ca="1">_xlfn.XLOOKUP(Orders[[#This Row],[Product ID]],Products[Product ID],Products[Selling Price])</f>
        <v>120</v>
      </c>
      <c r="H505" s="6">
        <f t="shared" ca="1" si="22"/>
        <v>0.02</v>
      </c>
      <c r="I505">
        <f ca="1">Orders[[#This Row],[Quantity]]*Orders[[#This Row],[Unit Price]]*(1-Orders[[#This Row],[Discount%]])</f>
        <v>940.8</v>
      </c>
      <c r="J505" t="str" cm="1">
        <f t="array" aca="1" ref="J505" ca="1">INDEX(PaymentMethods[Payment Method],RANDBETWEEN(1,5))</f>
        <v>UPI</v>
      </c>
    </row>
    <row r="506" spans="1:10" x14ac:dyDescent="0.3">
      <c r="A506" t="str">
        <f t="shared" si="23"/>
        <v>O0505</v>
      </c>
      <c r="B506" s="6">
        <f ca="1">Orders[[#This Row],[Discount%]]</f>
        <v>0.2</v>
      </c>
      <c r="C506" t="str" cm="1">
        <f t="array" aca="1" ref="C506" ca="1">INDEX(Customers[Customer ID],RANDBETWEEN(1,200))</f>
        <v>C062</v>
      </c>
      <c r="D506" t="str" cm="1">
        <f t="array" aca="1" ref="D506" ca="1">INDEX(Products[Product ID],RANDBETWEEN(1,50))</f>
        <v>P010</v>
      </c>
      <c r="E506" t="str" cm="1">
        <f t="array" aca="1" ref="E506" ca="1">INDEX(Warehouses[Warehouse ID],RANDBETWEEN(1,8))</f>
        <v>W005</v>
      </c>
      <c r="F506">
        <f t="shared" ca="1" si="21"/>
        <v>8</v>
      </c>
      <c r="G506">
        <f ca="1">_xlfn.XLOOKUP(Orders[[#This Row],[Product ID]],Products[Product ID],Products[Selling Price])</f>
        <v>250</v>
      </c>
      <c r="H506" s="6">
        <f t="shared" ca="1" si="22"/>
        <v>0.2</v>
      </c>
      <c r="I506">
        <f ca="1">Orders[[#This Row],[Quantity]]*Orders[[#This Row],[Unit Price]]*(1-Orders[[#This Row],[Discount%]])</f>
        <v>1600</v>
      </c>
      <c r="J506" t="str" cm="1">
        <f t="array" aca="1" ref="J506" ca="1">INDEX(PaymentMethods[Payment Method],RANDBETWEEN(1,5))</f>
        <v>Net Banking</v>
      </c>
    </row>
    <row r="507" spans="1:10" x14ac:dyDescent="0.3">
      <c r="A507" t="str">
        <f t="shared" si="23"/>
        <v>O0506</v>
      </c>
      <c r="B507" s="6">
        <f ca="1">Orders[[#This Row],[Discount%]]</f>
        <v>0.01</v>
      </c>
      <c r="C507" t="str" cm="1">
        <f t="array" aca="1" ref="C507" ca="1">INDEX(Customers[Customer ID],RANDBETWEEN(1,200))</f>
        <v>C093</v>
      </c>
      <c r="D507" t="str" cm="1">
        <f t="array" aca="1" ref="D507" ca="1">INDEX(Products[Product ID],RANDBETWEEN(1,50))</f>
        <v>P007</v>
      </c>
      <c r="E507" t="str" cm="1">
        <f t="array" aca="1" ref="E507" ca="1">INDEX(Warehouses[Warehouse ID],RANDBETWEEN(1,8))</f>
        <v>W006</v>
      </c>
      <c r="F507">
        <f t="shared" ca="1" si="21"/>
        <v>2</v>
      </c>
      <c r="G507">
        <f ca="1">_xlfn.XLOOKUP(Orders[[#This Row],[Product ID]],Products[Product ID],Products[Selling Price])</f>
        <v>6000</v>
      </c>
      <c r="H507" s="6">
        <f t="shared" ca="1" si="22"/>
        <v>0.01</v>
      </c>
      <c r="I507">
        <f ca="1">Orders[[#This Row],[Quantity]]*Orders[[#This Row],[Unit Price]]*(1-Orders[[#This Row],[Discount%]])</f>
        <v>11880</v>
      </c>
      <c r="J507" t="str" cm="1">
        <f t="array" aca="1" ref="J507" ca="1">INDEX(PaymentMethods[Payment Method],RANDBETWEEN(1,5))</f>
        <v>Debit Card</v>
      </c>
    </row>
    <row r="508" spans="1:10" x14ac:dyDescent="0.3">
      <c r="A508" t="str">
        <f t="shared" si="23"/>
        <v>O0507</v>
      </c>
      <c r="B508" s="6">
        <f ca="1">Orders[[#This Row],[Discount%]]</f>
        <v>0.2</v>
      </c>
      <c r="C508" t="str" cm="1">
        <f t="array" aca="1" ref="C508" ca="1">INDEX(Customers[Customer ID],RANDBETWEEN(1,200))</f>
        <v>C040</v>
      </c>
      <c r="D508" t="str" cm="1">
        <f t="array" aca="1" ref="D508" ca="1">INDEX(Products[Product ID],RANDBETWEEN(1,50))</f>
        <v>P009</v>
      </c>
      <c r="E508" t="str" cm="1">
        <f t="array" aca="1" ref="E508" ca="1">INDEX(Warehouses[Warehouse ID],RANDBETWEEN(1,8))</f>
        <v>W003</v>
      </c>
      <c r="F508">
        <f t="shared" ca="1" si="21"/>
        <v>5</v>
      </c>
      <c r="G508">
        <f ca="1">_xlfn.XLOOKUP(Orders[[#This Row],[Product ID]],Products[Product ID],Products[Selling Price])</f>
        <v>20000</v>
      </c>
      <c r="H508" s="6">
        <f t="shared" ca="1" si="22"/>
        <v>0.2</v>
      </c>
      <c r="I508">
        <f ca="1">Orders[[#This Row],[Quantity]]*Orders[[#This Row],[Unit Price]]*(1-Orders[[#This Row],[Discount%]])</f>
        <v>80000</v>
      </c>
      <c r="J508" t="str" cm="1">
        <f t="array" aca="1" ref="J508" ca="1">INDEX(PaymentMethods[Payment Method],RANDBETWEEN(1,5))</f>
        <v>Net Banking</v>
      </c>
    </row>
    <row r="509" spans="1:10" x14ac:dyDescent="0.3">
      <c r="A509" t="str">
        <f t="shared" si="23"/>
        <v>O0508</v>
      </c>
      <c r="B509" s="6">
        <f ca="1">Orders[[#This Row],[Discount%]]</f>
        <v>0.17</v>
      </c>
      <c r="C509" t="str" cm="1">
        <f t="array" aca="1" ref="C509" ca="1">INDEX(Customers[Customer ID],RANDBETWEEN(1,200))</f>
        <v>C077</v>
      </c>
      <c r="D509" t="str" cm="1">
        <f t="array" aca="1" ref="D509" ca="1">INDEX(Products[Product ID],RANDBETWEEN(1,50))</f>
        <v>P048</v>
      </c>
      <c r="E509" t="str" cm="1">
        <f t="array" aca="1" ref="E509" ca="1">INDEX(Warehouses[Warehouse ID],RANDBETWEEN(1,8))</f>
        <v>W004</v>
      </c>
      <c r="F509">
        <f t="shared" ca="1" si="21"/>
        <v>9</v>
      </c>
      <c r="G509">
        <f ca="1">_xlfn.XLOOKUP(Orders[[#This Row],[Product ID]],Products[Product ID],Products[Selling Price])</f>
        <v>1200</v>
      </c>
      <c r="H509" s="6">
        <f t="shared" ca="1" si="22"/>
        <v>0.17</v>
      </c>
      <c r="I509">
        <f ca="1">Orders[[#This Row],[Quantity]]*Orders[[#This Row],[Unit Price]]*(1-Orders[[#This Row],[Discount%]])</f>
        <v>8964</v>
      </c>
      <c r="J509" t="str" cm="1">
        <f t="array" aca="1" ref="J509" ca="1">INDEX(PaymentMethods[Payment Method],RANDBETWEEN(1,5))</f>
        <v>UPI</v>
      </c>
    </row>
    <row r="510" spans="1:10" x14ac:dyDescent="0.3">
      <c r="A510" t="str">
        <f t="shared" si="23"/>
        <v>O0509</v>
      </c>
      <c r="B510" s="6">
        <f ca="1">Orders[[#This Row],[Discount%]]</f>
        <v>0.03</v>
      </c>
      <c r="C510" t="str" cm="1">
        <f t="array" aca="1" ref="C510" ca="1">INDEX(Customers[Customer ID],RANDBETWEEN(1,200))</f>
        <v>C165</v>
      </c>
      <c r="D510" t="str" cm="1">
        <f t="array" aca="1" ref="D510" ca="1">INDEX(Products[Product ID],RANDBETWEEN(1,50))</f>
        <v>P011</v>
      </c>
      <c r="E510" t="str" cm="1">
        <f t="array" aca="1" ref="E510" ca="1">INDEX(Warehouses[Warehouse ID],RANDBETWEEN(1,8))</f>
        <v>W007</v>
      </c>
      <c r="F510">
        <f t="shared" ca="1" si="21"/>
        <v>5</v>
      </c>
      <c r="G510">
        <f ca="1">_xlfn.XLOOKUP(Orders[[#This Row],[Product ID]],Products[Product ID],Products[Selling Price])</f>
        <v>1200</v>
      </c>
      <c r="H510" s="6">
        <f t="shared" ca="1" si="22"/>
        <v>0.03</v>
      </c>
      <c r="I510">
        <f ca="1">Orders[[#This Row],[Quantity]]*Orders[[#This Row],[Unit Price]]*(1-Orders[[#This Row],[Discount%]])</f>
        <v>5820</v>
      </c>
      <c r="J510" t="str" cm="1">
        <f t="array" aca="1" ref="J510" ca="1">INDEX(PaymentMethods[Payment Method],RANDBETWEEN(1,5))</f>
        <v>UPI</v>
      </c>
    </row>
    <row r="511" spans="1:10" x14ac:dyDescent="0.3">
      <c r="A511" t="str">
        <f t="shared" si="23"/>
        <v>O0510</v>
      </c>
      <c r="B511" s="6">
        <f ca="1">Orders[[#This Row],[Discount%]]</f>
        <v>0.12</v>
      </c>
      <c r="C511" t="str" cm="1">
        <f t="array" aca="1" ref="C511" ca="1">INDEX(Customers[Customer ID],RANDBETWEEN(1,200))</f>
        <v>C038</v>
      </c>
      <c r="D511" t="str" cm="1">
        <f t="array" aca="1" ref="D511" ca="1">INDEX(Products[Product ID],RANDBETWEEN(1,50))</f>
        <v>P046</v>
      </c>
      <c r="E511" t="str" cm="1">
        <f t="array" aca="1" ref="E511" ca="1">INDEX(Warehouses[Warehouse ID],RANDBETWEEN(1,8))</f>
        <v>W004</v>
      </c>
      <c r="F511">
        <f t="shared" ca="1" si="21"/>
        <v>6</v>
      </c>
      <c r="G511">
        <f ca="1">_xlfn.XLOOKUP(Orders[[#This Row],[Product ID]],Products[Product ID],Products[Selling Price])</f>
        <v>2500</v>
      </c>
      <c r="H511" s="6">
        <f t="shared" ca="1" si="22"/>
        <v>0.12</v>
      </c>
      <c r="I511">
        <f ca="1">Orders[[#This Row],[Quantity]]*Orders[[#This Row],[Unit Price]]*(1-Orders[[#This Row],[Discount%]])</f>
        <v>13200</v>
      </c>
      <c r="J511" t="str" cm="1">
        <f t="array" aca="1" ref="J511" ca="1">INDEX(PaymentMethods[Payment Method],RANDBETWEEN(1,5))</f>
        <v>Net Banking</v>
      </c>
    </row>
    <row r="512" spans="1:10" x14ac:dyDescent="0.3">
      <c r="A512" t="str">
        <f t="shared" si="23"/>
        <v>O0511</v>
      </c>
      <c r="B512" s="6">
        <f ca="1">Orders[[#This Row],[Discount%]]</f>
        <v>0.05</v>
      </c>
      <c r="C512" t="str" cm="1">
        <f t="array" aca="1" ref="C512" ca="1">INDEX(Customers[Customer ID],RANDBETWEEN(1,200))</f>
        <v>C037</v>
      </c>
      <c r="D512" t="str" cm="1">
        <f t="array" aca="1" ref="D512" ca="1">INDEX(Products[Product ID],RANDBETWEEN(1,50))</f>
        <v>P010</v>
      </c>
      <c r="E512" t="str" cm="1">
        <f t="array" aca="1" ref="E512" ca="1">INDEX(Warehouses[Warehouse ID],RANDBETWEEN(1,8))</f>
        <v>W002</v>
      </c>
      <c r="F512">
        <f t="shared" ca="1" si="21"/>
        <v>7</v>
      </c>
      <c r="G512">
        <f ca="1">_xlfn.XLOOKUP(Orders[[#This Row],[Product ID]],Products[Product ID],Products[Selling Price])</f>
        <v>250</v>
      </c>
      <c r="H512" s="6">
        <f t="shared" ca="1" si="22"/>
        <v>0.05</v>
      </c>
      <c r="I512">
        <f ca="1">Orders[[#This Row],[Quantity]]*Orders[[#This Row],[Unit Price]]*(1-Orders[[#This Row],[Discount%]])</f>
        <v>1662.5</v>
      </c>
      <c r="J512" t="str" cm="1">
        <f t="array" aca="1" ref="J512" ca="1">INDEX(PaymentMethods[Payment Method],RANDBETWEEN(1,5))</f>
        <v>UPI</v>
      </c>
    </row>
    <row r="513" spans="1:10" x14ac:dyDescent="0.3">
      <c r="A513" t="str">
        <f t="shared" si="23"/>
        <v>O0512</v>
      </c>
      <c r="B513" s="6">
        <f ca="1">Orders[[#This Row],[Discount%]]</f>
        <v>0.04</v>
      </c>
      <c r="C513" t="str" cm="1">
        <f t="array" aca="1" ref="C513" ca="1">INDEX(Customers[Customer ID],RANDBETWEEN(1,200))</f>
        <v>C001</v>
      </c>
      <c r="D513" t="str" cm="1">
        <f t="array" aca="1" ref="D513" ca="1">INDEX(Products[Product ID],RANDBETWEEN(1,50))</f>
        <v>P034</v>
      </c>
      <c r="E513" t="str" cm="1">
        <f t="array" aca="1" ref="E513" ca="1">INDEX(Warehouses[Warehouse ID],RANDBETWEEN(1,8))</f>
        <v>W006</v>
      </c>
      <c r="F513">
        <f t="shared" ca="1" si="21"/>
        <v>4</v>
      </c>
      <c r="G513">
        <f ca="1">_xlfn.XLOOKUP(Orders[[#This Row],[Product ID]],Products[Product ID],Products[Selling Price])</f>
        <v>120</v>
      </c>
      <c r="H513" s="6">
        <f t="shared" ca="1" si="22"/>
        <v>0.04</v>
      </c>
      <c r="I513">
        <f ca="1">Orders[[#This Row],[Quantity]]*Orders[[#This Row],[Unit Price]]*(1-Orders[[#This Row],[Discount%]])</f>
        <v>460.79999999999995</v>
      </c>
      <c r="J513" t="str" cm="1">
        <f t="array" aca="1" ref="J513" ca="1">INDEX(PaymentMethods[Payment Method],RANDBETWEEN(1,5))</f>
        <v>Net Banking</v>
      </c>
    </row>
    <row r="514" spans="1:10" x14ac:dyDescent="0.3">
      <c r="A514" t="str">
        <f t="shared" si="23"/>
        <v>O0513</v>
      </c>
      <c r="B514" s="6">
        <f ca="1">Orders[[#This Row],[Discount%]]</f>
        <v>0.2</v>
      </c>
      <c r="C514" t="str" cm="1">
        <f t="array" aca="1" ref="C514" ca="1">INDEX(Customers[Customer ID],RANDBETWEEN(1,200))</f>
        <v>C034</v>
      </c>
      <c r="D514" t="str" cm="1">
        <f t="array" aca="1" ref="D514" ca="1">INDEX(Products[Product ID],RANDBETWEEN(1,50))</f>
        <v>P023</v>
      </c>
      <c r="E514" t="str" cm="1">
        <f t="array" aca="1" ref="E514" ca="1">INDEX(Warehouses[Warehouse ID],RANDBETWEEN(1,8))</f>
        <v>W002</v>
      </c>
      <c r="F514">
        <f t="shared" ref="F514:F577" ca="1" si="24">RANDBETWEEN(1,10)</f>
        <v>6</v>
      </c>
      <c r="G514">
        <f ca="1">_xlfn.XLOOKUP(Orders[[#This Row],[Product ID]],Products[Product ID],Products[Selling Price])</f>
        <v>2300</v>
      </c>
      <c r="H514" s="6">
        <f t="shared" ref="H514:H577" ca="1" si="25">RANDBETWEEN(0,20)/100</f>
        <v>0.2</v>
      </c>
      <c r="I514">
        <f ca="1">Orders[[#This Row],[Quantity]]*Orders[[#This Row],[Unit Price]]*(1-Orders[[#This Row],[Discount%]])</f>
        <v>11040</v>
      </c>
      <c r="J514" t="str" cm="1">
        <f t="array" aca="1" ref="J514" ca="1">INDEX(PaymentMethods[Payment Method],RANDBETWEEN(1,5))</f>
        <v>Cash</v>
      </c>
    </row>
    <row r="515" spans="1:10" x14ac:dyDescent="0.3">
      <c r="A515" t="str">
        <f t="shared" ref="A515:A578" si="26">"O"&amp;TEXT(ROW()-1,"0000")</f>
        <v>O0514</v>
      </c>
      <c r="B515" s="6">
        <f ca="1">Orders[[#This Row],[Discount%]]</f>
        <v>0.06</v>
      </c>
      <c r="C515" t="str" cm="1">
        <f t="array" aca="1" ref="C515" ca="1">INDEX(Customers[Customer ID],RANDBETWEEN(1,200))</f>
        <v>C199</v>
      </c>
      <c r="D515" t="str" cm="1">
        <f t="array" aca="1" ref="D515" ca="1">INDEX(Products[Product ID],RANDBETWEEN(1,50))</f>
        <v>P018</v>
      </c>
      <c r="E515" t="str" cm="1">
        <f t="array" aca="1" ref="E515" ca="1">INDEX(Warehouses[Warehouse ID],RANDBETWEEN(1,8))</f>
        <v>W007</v>
      </c>
      <c r="F515">
        <f t="shared" ca="1" si="24"/>
        <v>8</v>
      </c>
      <c r="G515">
        <f ca="1">_xlfn.XLOOKUP(Orders[[#This Row],[Product ID]],Products[Product ID],Products[Selling Price])</f>
        <v>1500</v>
      </c>
      <c r="H515" s="6">
        <f t="shared" ca="1" si="25"/>
        <v>0.06</v>
      </c>
      <c r="I515">
        <f ca="1">Orders[[#This Row],[Quantity]]*Orders[[#This Row],[Unit Price]]*(1-Orders[[#This Row],[Discount%]])</f>
        <v>11280</v>
      </c>
      <c r="J515" t="str" cm="1">
        <f t="array" aca="1" ref="J515" ca="1">INDEX(PaymentMethods[Payment Method],RANDBETWEEN(1,5))</f>
        <v>Credit Card</v>
      </c>
    </row>
    <row r="516" spans="1:10" x14ac:dyDescent="0.3">
      <c r="A516" t="str">
        <f t="shared" si="26"/>
        <v>O0515</v>
      </c>
      <c r="B516" s="6">
        <f ca="1">Orders[[#This Row],[Discount%]]</f>
        <v>0.01</v>
      </c>
      <c r="C516" t="str" cm="1">
        <f t="array" aca="1" ref="C516" ca="1">INDEX(Customers[Customer ID],RANDBETWEEN(1,200))</f>
        <v>C058</v>
      </c>
      <c r="D516" t="str" cm="1">
        <f t="array" aca="1" ref="D516" ca="1">INDEX(Products[Product ID],RANDBETWEEN(1,50))</f>
        <v>P020</v>
      </c>
      <c r="E516" t="str" cm="1">
        <f t="array" aca="1" ref="E516" ca="1">INDEX(Warehouses[Warehouse ID],RANDBETWEEN(1,8))</f>
        <v>W004</v>
      </c>
      <c r="F516">
        <f t="shared" ca="1" si="24"/>
        <v>3</v>
      </c>
      <c r="G516">
        <f ca="1">_xlfn.XLOOKUP(Orders[[#This Row],[Product ID]],Products[Product ID],Products[Selling Price])</f>
        <v>450</v>
      </c>
      <c r="H516" s="6">
        <f t="shared" ca="1" si="25"/>
        <v>0.01</v>
      </c>
      <c r="I516">
        <f ca="1">Orders[[#This Row],[Quantity]]*Orders[[#This Row],[Unit Price]]*(1-Orders[[#This Row],[Discount%]])</f>
        <v>1336.5</v>
      </c>
      <c r="J516" t="str" cm="1">
        <f t="array" aca="1" ref="J516" ca="1">INDEX(PaymentMethods[Payment Method],RANDBETWEEN(1,5))</f>
        <v>Net Banking</v>
      </c>
    </row>
    <row r="517" spans="1:10" x14ac:dyDescent="0.3">
      <c r="A517" t="str">
        <f t="shared" si="26"/>
        <v>O0516</v>
      </c>
      <c r="B517" s="6">
        <f ca="1">Orders[[#This Row],[Discount%]]</f>
        <v>0.1</v>
      </c>
      <c r="C517" t="str" cm="1">
        <f t="array" aca="1" ref="C517" ca="1">INDEX(Customers[Customer ID],RANDBETWEEN(1,200))</f>
        <v>C041</v>
      </c>
      <c r="D517" t="str" cm="1">
        <f t="array" aca="1" ref="D517" ca="1">INDEX(Products[Product ID],RANDBETWEEN(1,50))</f>
        <v>P037</v>
      </c>
      <c r="E517" t="str" cm="1">
        <f t="array" aca="1" ref="E517" ca="1">INDEX(Warehouses[Warehouse ID],RANDBETWEEN(1,8))</f>
        <v>W003</v>
      </c>
      <c r="F517">
        <f t="shared" ca="1" si="24"/>
        <v>6</v>
      </c>
      <c r="G517">
        <f ca="1">_xlfn.XLOOKUP(Orders[[#This Row],[Product ID]],Products[Product ID],Products[Selling Price])</f>
        <v>550</v>
      </c>
      <c r="H517" s="6">
        <f t="shared" ca="1" si="25"/>
        <v>0.1</v>
      </c>
      <c r="I517">
        <f ca="1">Orders[[#This Row],[Quantity]]*Orders[[#This Row],[Unit Price]]*(1-Orders[[#This Row],[Discount%]])</f>
        <v>2970</v>
      </c>
      <c r="J517" t="str" cm="1">
        <f t="array" aca="1" ref="J517" ca="1">INDEX(PaymentMethods[Payment Method],RANDBETWEEN(1,5))</f>
        <v>Debit Card</v>
      </c>
    </row>
    <row r="518" spans="1:10" x14ac:dyDescent="0.3">
      <c r="A518" t="str">
        <f t="shared" si="26"/>
        <v>O0517</v>
      </c>
      <c r="B518" s="6">
        <f ca="1">Orders[[#This Row],[Discount%]]</f>
        <v>0.06</v>
      </c>
      <c r="C518" t="str" cm="1">
        <f t="array" aca="1" ref="C518" ca="1">INDEX(Customers[Customer ID],RANDBETWEEN(1,200))</f>
        <v>C052</v>
      </c>
      <c r="D518" t="str" cm="1">
        <f t="array" aca="1" ref="D518" ca="1">INDEX(Products[Product ID],RANDBETWEEN(1,50))</f>
        <v>P045</v>
      </c>
      <c r="E518" t="str" cm="1">
        <f t="array" aca="1" ref="E518" ca="1">INDEX(Warehouses[Warehouse ID],RANDBETWEEN(1,8))</f>
        <v>W007</v>
      </c>
      <c r="F518">
        <f t="shared" ca="1" si="24"/>
        <v>4</v>
      </c>
      <c r="G518">
        <f ca="1">_xlfn.XLOOKUP(Orders[[#This Row],[Product ID]],Products[Product ID],Products[Selling Price])</f>
        <v>1500</v>
      </c>
      <c r="H518" s="6">
        <f t="shared" ca="1" si="25"/>
        <v>0.06</v>
      </c>
      <c r="I518">
        <f ca="1">Orders[[#This Row],[Quantity]]*Orders[[#This Row],[Unit Price]]*(1-Orders[[#This Row],[Discount%]])</f>
        <v>5640</v>
      </c>
      <c r="J518" t="str" cm="1">
        <f t="array" aca="1" ref="J518" ca="1">INDEX(PaymentMethods[Payment Method],RANDBETWEEN(1,5))</f>
        <v>UPI</v>
      </c>
    </row>
    <row r="519" spans="1:10" x14ac:dyDescent="0.3">
      <c r="A519" t="str">
        <f t="shared" si="26"/>
        <v>O0518</v>
      </c>
      <c r="B519" s="6">
        <f ca="1">Orders[[#This Row],[Discount%]]</f>
        <v>0.09</v>
      </c>
      <c r="C519" t="str" cm="1">
        <f t="array" aca="1" ref="C519" ca="1">INDEX(Customers[Customer ID],RANDBETWEEN(1,200))</f>
        <v>C159</v>
      </c>
      <c r="D519" t="str" cm="1">
        <f t="array" aca="1" ref="D519" ca="1">INDEX(Products[Product ID],RANDBETWEEN(1,50))</f>
        <v>P012</v>
      </c>
      <c r="E519" t="str" cm="1">
        <f t="array" aca="1" ref="E519" ca="1">INDEX(Warehouses[Warehouse ID],RANDBETWEEN(1,8))</f>
        <v>W005</v>
      </c>
      <c r="F519">
        <f t="shared" ca="1" si="24"/>
        <v>9</v>
      </c>
      <c r="G519">
        <f ca="1">_xlfn.XLOOKUP(Orders[[#This Row],[Product ID]],Products[Product ID],Products[Selling Price])</f>
        <v>80</v>
      </c>
      <c r="H519" s="6">
        <f t="shared" ca="1" si="25"/>
        <v>0.09</v>
      </c>
      <c r="I519">
        <f ca="1">Orders[[#This Row],[Quantity]]*Orders[[#This Row],[Unit Price]]*(1-Orders[[#This Row],[Discount%]])</f>
        <v>655.20000000000005</v>
      </c>
      <c r="J519" t="str" cm="1">
        <f t="array" aca="1" ref="J519" ca="1">INDEX(PaymentMethods[Payment Method],RANDBETWEEN(1,5))</f>
        <v>Credit Card</v>
      </c>
    </row>
    <row r="520" spans="1:10" x14ac:dyDescent="0.3">
      <c r="A520" t="str">
        <f t="shared" si="26"/>
        <v>O0519</v>
      </c>
      <c r="B520" s="6">
        <f ca="1">Orders[[#This Row],[Discount%]]</f>
        <v>0.03</v>
      </c>
      <c r="C520" t="str" cm="1">
        <f t="array" aca="1" ref="C520" ca="1">INDEX(Customers[Customer ID],RANDBETWEEN(1,200))</f>
        <v>C053</v>
      </c>
      <c r="D520" t="str" cm="1">
        <f t="array" aca="1" ref="D520" ca="1">INDEX(Products[Product ID],RANDBETWEEN(1,50))</f>
        <v>P043</v>
      </c>
      <c r="E520" t="str" cm="1">
        <f t="array" aca="1" ref="E520" ca="1">INDEX(Warehouses[Warehouse ID],RANDBETWEEN(1,8))</f>
        <v>W003</v>
      </c>
      <c r="F520">
        <f t="shared" ca="1" si="24"/>
        <v>10</v>
      </c>
      <c r="G520">
        <f ca="1">_xlfn.XLOOKUP(Orders[[#This Row],[Product ID]],Products[Product ID],Products[Selling Price])</f>
        <v>24500</v>
      </c>
      <c r="H520" s="6">
        <f t="shared" ca="1" si="25"/>
        <v>0.03</v>
      </c>
      <c r="I520">
        <f ca="1">Orders[[#This Row],[Quantity]]*Orders[[#This Row],[Unit Price]]*(1-Orders[[#This Row],[Discount%]])</f>
        <v>237650</v>
      </c>
      <c r="J520" t="str" cm="1">
        <f t="array" aca="1" ref="J520" ca="1">INDEX(PaymentMethods[Payment Method],RANDBETWEEN(1,5))</f>
        <v>Credit Card</v>
      </c>
    </row>
    <row r="521" spans="1:10" x14ac:dyDescent="0.3">
      <c r="A521" t="str">
        <f t="shared" si="26"/>
        <v>O0520</v>
      </c>
      <c r="B521" s="6">
        <f ca="1">Orders[[#This Row],[Discount%]]</f>
        <v>0.12</v>
      </c>
      <c r="C521" t="str" cm="1">
        <f t="array" aca="1" ref="C521" ca="1">INDEX(Customers[Customer ID],RANDBETWEEN(1,200))</f>
        <v>C006</v>
      </c>
      <c r="D521" t="str" cm="1">
        <f t="array" aca="1" ref="D521" ca="1">INDEX(Products[Product ID],RANDBETWEEN(1,50))</f>
        <v>P007</v>
      </c>
      <c r="E521" t="str" cm="1">
        <f t="array" aca="1" ref="E521" ca="1">INDEX(Warehouses[Warehouse ID],RANDBETWEEN(1,8))</f>
        <v>W003</v>
      </c>
      <c r="F521">
        <f t="shared" ca="1" si="24"/>
        <v>4</v>
      </c>
      <c r="G521">
        <f ca="1">_xlfn.XLOOKUP(Orders[[#This Row],[Product ID]],Products[Product ID],Products[Selling Price])</f>
        <v>6000</v>
      </c>
      <c r="H521" s="6">
        <f t="shared" ca="1" si="25"/>
        <v>0.12</v>
      </c>
      <c r="I521">
        <f ca="1">Orders[[#This Row],[Quantity]]*Orders[[#This Row],[Unit Price]]*(1-Orders[[#This Row],[Discount%]])</f>
        <v>21120</v>
      </c>
      <c r="J521" t="str" cm="1">
        <f t="array" aca="1" ref="J521" ca="1">INDEX(PaymentMethods[Payment Method],RANDBETWEEN(1,5))</f>
        <v>UPI</v>
      </c>
    </row>
    <row r="522" spans="1:10" x14ac:dyDescent="0.3">
      <c r="A522" t="str">
        <f t="shared" si="26"/>
        <v>O0521</v>
      </c>
      <c r="B522" s="6">
        <f ca="1">Orders[[#This Row],[Discount%]]</f>
        <v>0.06</v>
      </c>
      <c r="C522" t="str" cm="1">
        <f t="array" aca="1" ref="C522" ca="1">INDEX(Customers[Customer ID],RANDBETWEEN(1,200))</f>
        <v>C146</v>
      </c>
      <c r="D522" t="str" cm="1">
        <f t="array" aca="1" ref="D522" ca="1">INDEX(Products[Product ID],RANDBETWEEN(1,50))</f>
        <v>P005</v>
      </c>
      <c r="E522" t="str" cm="1">
        <f t="array" aca="1" ref="E522" ca="1">INDEX(Warehouses[Warehouse ID],RANDBETWEEN(1,8))</f>
        <v>W002</v>
      </c>
      <c r="F522">
        <f t="shared" ca="1" si="24"/>
        <v>5</v>
      </c>
      <c r="G522">
        <f ca="1">_xlfn.XLOOKUP(Orders[[#This Row],[Product ID]],Products[Product ID],Products[Selling Price])</f>
        <v>10500</v>
      </c>
      <c r="H522" s="6">
        <f t="shared" ca="1" si="25"/>
        <v>0.06</v>
      </c>
      <c r="I522">
        <f ca="1">Orders[[#This Row],[Quantity]]*Orders[[#This Row],[Unit Price]]*(1-Orders[[#This Row],[Discount%]])</f>
        <v>49350</v>
      </c>
      <c r="J522" t="str" cm="1">
        <f t="array" aca="1" ref="J522" ca="1">INDEX(PaymentMethods[Payment Method],RANDBETWEEN(1,5))</f>
        <v>UPI</v>
      </c>
    </row>
    <row r="523" spans="1:10" x14ac:dyDescent="0.3">
      <c r="A523" t="str">
        <f t="shared" si="26"/>
        <v>O0522</v>
      </c>
      <c r="B523" s="6">
        <f ca="1">Orders[[#This Row],[Discount%]]</f>
        <v>0.18</v>
      </c>
      <c r="C523" t="str" cm="1">
        <f t="array" aca="1" ref="C523" ca="1">INDEX(Customers[Customer ID],RANDBETWEEN(1,200))</f>
        <v>C186</v>
      </c>
      <c r="D523" t="str" cm="1">
        <f t="array" aca="1" ref="D523" ca="1">INDEX(Products[Product ID],RANDBETWEEN(1,50))</f>
        <v>P029</v>
      </c>
      <c r="E523" t="str" cm="1">
        <f t="array" aca="1" ref="E523" ca="1">INDEX(Warehouses[Warehouse ID],RANDBETWEEN(1,8))</f>
        <v>W001</v>
      </c>
      <c r="F523">
        <f t="shared" ca="1" si="24"/>
        <v>5</v>
      </c>
      <c r="G523">
        <f ca="1">_xlfn.XLOOKUP(Orders[[#This Row],[Product ID]],Products[Product ID],Products[Selling Price])</f>
        <v>3200</v>
      </c>
      <c r="H523" s="6">
        <f t="shared" ca="1" si="25"/>
        <v>0.18</v>
      </c>
      <c r="I523">
        <f ca="1">Orders[[#This Row],[Quantity]]*Orders[[#This Row],[Unit Price]]*(1-Orders[[#This Row],[Discount%]])</f>
        <v>13120.000000000002</v>
      </c>
      <c r="J523" t="str" cm="1">
        <f t="array" aca="1" ref="J523" ca="1">INDEX(PaymentMethods[Payment Method],RANDBETWEEN(1,5))</f>
        <v>Credit Card</v>
      </c>
    </row>
    <row r="524" spans="1:10" x14ac:dyDescent="0.3">
      <c r="A524" t="str">
        <f t="shared" si="26"/>
        <v>O0523</v>
      </c>
      <c r="B524" s="6">
        <f ca="1">Orders[[#This Row],[Discount%]]</f>
        <v>0.17</v>
      </c>
      <c r="C524" t="str" cm="1">
        <f t="array" aca="1" ref="C524" ca="1">INDEX(Customers[Customer ID],RANDBETWEEN(1,200))</f>
        <v>C190</v>
      </c>
      <c r="D524" t="str" cm="1">
        <f t="array" aca="1" ref="D524" ca="1">INDEX(Products[Product ID],RANDBETWEEN(1,50))</f>
        <v>P041</v>
      </c>
      <c r="E524" t="str" cm="1">
        <f t="array" aca="1" ref="E524" ca="1">INDEX(Warehouses[Warehouse ID],RANDBETWEEN(1,8))</f>
        <v>W005</v>
      </c>
      <c r="F524">
        <f t="shared" ca="1" si="24"/>
        <v>10</v>
      </c>
      <c r="G524">
        <f ca="1">_xlfn.XLOOKUP(Orders[[#This Row],[Product ID]],Products[Product ID],Products[Selling Price])</f>
        <v>36000</v>
      </c>
      <c r="H524" s="6">
        <f t="shared" ca="1" si="25"/>
        <v>0.17</v>
      </c>
      <c r="I524">
        <f ca="1">Orders[[#This Row],[Quantity]]*Orders[[#This Row],[Unit Price]]*(1-Orders[[#This Row],[Discount%]])</f>
        <v>298800</v>
      </c>
      <c r="J524" t="str" cm="1">
        <f t="array" aca="1" ref="J524" ca="1">INDEX(PaymentMethods[Payment Method],RANDBETWEEN(1,5))</f>
        <v>Debit Card</v>
      </c>
    </row>
    <row r="525" spans="1:10" x14ac:dyDescent="0.3">
      <c r="A525" t="str">
        <f t="shared" si="26"/>
        <v>O0524</v>
      </c>
      <c r="B525" s="6">
        <f ca="1">Orders[[#This Row],[Discount%]]</f>
        <v>0.04</v>
      </c>
      <c r="C525" t="str" cm="1">
        <f t="array" aca="1" ref="C525" ca="1">INDEX(Customers[Customer ID],RANDBETWEEN(1,200))</f>
        <v>C136</v>
      </c>
      <c r="D525" t="str" cm="1">
        <f t="array" aca="1" ref="D525" ca="1">INDEX(Products[Product ID],RANDBETWEEN(1,50))</f>
        <v>P025</v>
      </c>
      <c r="E525" t="str" cm="1">
        <f t="array" aca="1" ref="E525" ca="1">INDEX(Warehouses[Warehouse ID],RANDBETWEEN(1,8))</f>
        <v>W004</v>
      </c>
      <c r="F525">
        <f t="shared" ca="1" si="24"/>
        <v>1</v>
      </c>
      <c r="G525">
        <f ca="1">_xlfn.XLOOKUP(Orders[[#This Row],[Product ID]],Products[Product ID],Products[Selling Price])</f>
        <v>1800</v>
      </c>
      <c r="H525" s="6">
        <f t="shared" ca="1" si="25"/>
        <v>0.04</v>
      </c>
      <c r="I525">
        <f ca="1">Orders[[#This Row],[Quantity]]*Orders[[#This Row],[Unit Price]]*(1-Orders[[#This Row],[Discount%]])</f>
        <v>1728</v>
      </c>
      <c r="J525" t="str" cm="1">
        <f t="array" aca="1" ref="J525" ca="1">INDEX(PaymentMethods[Payment Method],RANDBETWEEN(1,5))</f>
        <v>Cash</v>
      </c>
    </row>
    <row r="526" spans="1:10" x14ac:dyDescent="0.3">
      <c r="A526" t="str">
        <f t="shared" si="26"/>
        <v>O0525</v>
      </c>
      <c r="B526" s="6">
        <f ca="1">Orders[[#This Row],[Discount%]]</f>
        <v>0.19</v>
      </c>
      <c r="C526" t="str" cm="1">
        <f t="array" aca="1" ref="C526" ca="1">INDEX(Customers[Customer ID],RANDBETWEEN(1,200))</f>
        <v>C193</v>
      </c>
      <c r="D526" t="str" cm="1">
        <f t="array" aca="1" ref="D526" ca="1">INDEX(Products[Product ID],RANDBETWEEN(1,50))</f>
        <v>P028</v>
      </c>
      <c r="E526" t="str" cm="1">
        <f t="array" aca="1" ref="E526" ca="1">INDEX(Warehouses[Warehouse ID],RANDBETWEEN(1,8))</f>
        <v>W006</v>
      </c>
      <c r="F526">
        <f t="shared" ca="1" si="24"/>
        <v>2</v>
      </c>
      <c r="G526">
        <f ca="1">_xlfn.XLOOKUP(Orders[[#This Row],[Product ID]],Products[Product ID],Products[Selling Price])</f>
        <v>16500</v>
      </c>
      <c r="H526" s="6">
        <f t="shared" ca="1" si="25"/>
        <v>0.19</v>
      </c>
      <c r="I526">
        <f ca="1">Orders[[#This Row],[Quantity]]*Orders[[#This Row],[Unit Price]]*(1-Orders[[#This Row],[Discount%]])</f>
        <v>26730</v>
      </c>
      <c r="J526" t="str" cm="1">
        <f t="array" aca="1" ref="J526" ca="1">INDEX(PaymentMethods[Payment Method],RANDBETWEEN(1,5))</f>
        <v>Credit Card</v>
      </c>
    </row>
    <row r="527" spans="1:10" x14ac:dyDescent="0.3">
      <c r="A527" t="str">
        <f t="shared" si="26"/>
        <v>O0526</v>
      </c>
      <c r="B527" s="6">
        <f ca="1">Orders[[#This Row],[Discount%]]</f>
        <v>0.19</v>
      </c>
      <c r="C527" t="str" cm="1">
        <f t="array" aca="1" ref="C527" ca="1">INDEX(Customers[Customer ID],RANDBETWEEN(1,200))</f>
        <v>C032</v>
      </c>
      <c r="D527" t="str" cm="1">
        <f t="array" aca="1" ref="D527" ca="1">INDEX(Products[Product ID],RANDBETWEEN(1,50))</f>
        <v>P004</v>
      </c>
      <c r="E527" t="str" cm="1">
        <f t="array" aca="1" ref="E527" ca="1">INDEX(Warehouses[Warehouse ID],RANDBETWEEN(1,8))</f>
        <v>W004</v>
      </c>
      <c r="F527">
        <f t="shared" ca="1" si="24"/>
        <v>4</v>
      </c>
      <c r="G527">
        <f ca="1">_xlfn.XLOOKUP(Orders[[#This Row],[Product ID]],Products[Product ID],Products[Selling Price])</f>
        <v>9000</v>
      </c>
      <c r="H527" s="6">
        <f t="shared" ca="1" si="25"/>
        <v>0.19</v>
      </c>
      <c r="I527">
        <f ca="1">Orders[[#This Row],[Quantity]]*Orders[[#This Row],[Unit Price]]*(1-Orders[[#This Row],[Discount%]])</f>
        <v>29160.000000000004</v>
      </c>
      <c r="J527" t="str" cm="1">
        <f t="array" aca="1" ref="J527" ca="1">INDEX(PaymentMethods[Payment Method],RANDBETWEEN(1,5))</f>
        <v>Debit Card</v>
      </c>
    </row>
    <row r="528" spans="1:10" x14ac:dyDescent="0.3">
      <c r="A528" t="str">
        <f t="shared" si="26"/>
        <v>O0527</v>
      </c>
      <c r="B528" s="6">
        <f ca="1">Orders[[#This Row],[Discount%]]</f>
        <v>0.06</v>
      </c>
      <c r="C528" t="str" cm="1">
        <f t="array" aca="1" ref="C528" ca="1">INDEX(Customers[Customer ID],RANDBETWEEN(1,200))</f>
        <v>C167</v>
      </c>
      <c r="D528" t="str" cm="1">
        <f t="array" aca="1" ref="D528" ca="1">INDEX(Products[Product ID],RANDBETWEEN(1,50))</f>
        <v>P018</v>
      </c>
      <c r="E528" t="str" cm="1">
        <f t="array" aca="1" ref="E528" ca="1">INDEX(Warehouses[Warehouse ID],RANDBETWEEN(1,8))</f>
        <v>W004</v>
      </c>
      <c r="F528">
        <f t="shared" ca="1" si="24"/>
        <v>4</v>
      </c>
      <c r="G528">
        <f ca="1">_xlfn.XLOOKUP(Orders[[#This Row],[Product ID]],Products[Product ID],Products[Selling Price])</f>
        <v>1500</v>
      </c>
      <c r="H528" s="6">
        <f t="shared" ca="1" si="25"/>
        <v>0.06</v>
      </c>
      <c r="I528">
        <f ca="1">Orders[[#This Row],[Quantity]]*Orders[[#This Row],[Unit Price]]*(1-Orders[[#This Row],[Discount%]])</f>
        <v>5640</v>
      </c>
      <c r="J528" t="str" cm="1">
        <f t="array" aca="1" ref="J528" ca="1">INDEX(PaymentMethods[Payment Method],RANDBETWEEN(1,5))</f>
        <v>Credit Card</v>
      </c>
    </row>
    <row r="529" spans="1:10" x14ac:dyDescent="0.3">
      <c r="A529" t="str">
        <f t="shared" si="26"/>
        <v>O0528</v>
      </c>
      <c r="B529" s="6">
        <f ca="1">Orders[[#This Row],[Discount%]]</f>
        <v>0.2</v>
      </c>
      <c r="C529" t="str" cm="1">
        <f t="array" aca="1" ref="C529" ca="1">INDEX(Customers[Customer ID],RANDBETWEEN(1,200))</f>
        <v>C143</v>
      </c>
      <c r="D529" t="str" cm="1">
        <f t="array" aca="1" ref="D529" ca="1">INDEX(Products[Product ID],RANDBETWEEN(1,50))</f>
        <v>P028</v>
      </c>
      <c r="E529" t="str" cm="1">
        <f t="array" aca="1" ref="E529" ca="1">INDEX(Warehouses[Warehouse ID],RANDBETWEEN(1,8))</f>
        <v>W005</v>
      </c>
      <c r="F529">
        <f t="shared" ca="1" si="24"/>
        <v>1</v>
      </c>
      <c r="G529">
        <f ca="1">_xlfn.XLOOKUP(Orders[[#This Row],[Product ID]],Products[Product ID],Products[Selling Price])</f>
        <v>16500</v>
      </c>
      <c r="H529" s="6">
        <f t="shared" ca="1" si="25"/>
        <v>0.2</v>
      </c>
      <c r="I529">
        <f ca="1">Orders[[#This Row],[Quantity]]*Orders[[#This Row],[Unit Price]]*(1-Orders[[#This Row],[Discount%]])</f>
        <v>13200</v>
      </c>
      <c r="J529" t="str" cm="1">
        <f t="array" aca="1" ref="J529" ca="1">INDEX(PaymentMethods[Payment Method],RANDBETWEEN(1,5))</f>
        <v>Cash</v>
      </c>
    </row>
    <row r="530" spans="1:10" x14ac:dyDescent="0.3">
      <c r="A530" t="str">
        <f t="shared" si="26"/>
        <v>O0529</v>
      </c>
      <c r="B530" s="6">
        <f ca="1">Orders[[#This Row],[Discount%]]</f>
        <v>0.13</v>
      </c>
      <c r="C530" t="str" cm="1">
        <f t="array" aca="1" ref="C530" ca="1">INDEX(Customers[Customer ID],RANDBETWEEN(1,200))</f>
        <v>C010</v>
      </c>
      <c r="D530" t="str" cm="1">
        <f t="array" aca="1" ref="D530" ca="1">INDEX(Products[Product ID],RANDBETWEEN(1,50))</f>
        <v>P006</v>
      </c>
      <c r="E530" t="str" cm="1">
        <f t="array" aca="1" ref="E530" ca="1">INDEX(Warehouses[Warehouse ID],RANDBETWEEN(1,8))</f>
        <v>W008</v>
      </c>
      <c r="F530">
        <f t="shared" ca="1" si="24"/>
        <v>2</v>
      </c>
      <c r="G530">
        <f ca="1">_xlfn.XLOOKUP(Orders[[#This Row],[Product ID]],Products[Product ID],Products[Selling Price])</f>
        <v>3500</v>
      </c>
      <c r="H530" s="6">
        <f t="shared" ca="1" si="25"/>
        <v>0.13</v>
      </c>
      <c r="I530">
        <f ca="1">Orders[[#This Row],[Quantity]]*Orders[[#This Row],[Unit Price]]*(1-Orders[[#This Row],[Discount%]])</f>
        <v>6090</v>
      </c>
      <c r="J530" t="str" cm="1">
        <f t="array" aca="1" ref="J530" ca="1">INDEX(PaymentMethods[Payment Method],RANDBETWEEN(1,5))</f>
        <v>Net Banking</v>
      </c>
    </row>
    <row r="531" spans="1:10" x14ac:dyDescent="0.3">
      <c r="A531" t="str">
        <f t="shared" si="26"/>
        <v>O0530</v>
      </c>
      <c r="B531" s="6">
        <f ca="1">Orders[[#This Row],[Discount%]]</f>
        <v>0.14000000000000001</v>
      </c>
      <c r="C531" t="str" cm="1">
        <f t="array" aca="1" ref="C531" ca="1">INDEX(Customers[Customer ID],RANDBETWEEN(1,200))</f>
        <v>C050</v>
      </c>
      <c r="D531" t="str" cm="1">
        <f t="array" aca="1" ref="D531" ca="1">INDEX(Products[Product ID],RANDBETWEEN(1,50))</f>
        <v>P048</v>
      </c>
      <c r="E531" t="str" cm="1">
        <f t="array" aca="1" ref="E531" ca="1">INDEX(Warehouses[Warehouse ID],RANDBETWEEN(1,8))</f>
        <v>W007</v>
      </c>
      <c r="F531">
        <f t="shared" ca="1" si="24"/>
        <v>5</v>
      </c>
      <c r="G531">
        <f ca="1">_xlfn.XLOOKUP(Orders[[#This Row],[Product ID]],Products[Product ID],Products[Selling Price])</f>
        <v>1200</v>
      </c>
      <c r="H531" s="6">
        <f t="shared" ca="1" si="25"/>
        <v>0.14000000000000001</v>
      </c>
      <c r="I531">
        <f ca="1">Orders[[#This Row],[Quantity]]*Orders[[#This Row],[Unit Price]]*(1-Orders[[#This Row],[Discount%]])</f>
        <v>5160</v>
      </c>
      <c r="J531" t="str" cm="1">
        <f t="array" aca="1" ref="J531" ca="1">INDEX(PaymentMethods[Payment Method],RANDBETWEEN(1,5))</f>
        <v>UPI</v>
      </c>
    </row>
    <row r="532" spans="1:10" x14ac:dyDescent="0.3">
      <c r="A532" t="str">
        <f t="shared" si="26"/>
        <v>O0531</v>
      </c>
      <c r="B532" s="6">
        <f ca="1">Orders[[#This Row],[Discount%]]</f>
        <v>0.14000000000000001</v>
      </c>
      <c r="C532" t="str" cm="1">
        <f t="array" aca="1" ref="C532" ca="1">INDEX(Customers[Customer ID],RANDBETWEEN(1,200))</f>
        <v>C190</v>
      </c>
      <c r="D532" t="str" cm="1">
        <f t="array" aca="1" ref="D532" ca="1">INDEX(Products[Product ID],RANDBETWEEN(1,50))</f>
        <v>P021</v>
      </c>
      <c r="E532" t="str" cm="1">
        <f t="array" aca="1" ref="E532" ca="1">INDEX(Warehouses[Warehouse ID],RANDBETWEEN(1,8))</f>
        <v>W001</v>
      </c>
      <c r="F532">
        <f t="shared" ca="1" si="24"/>
        <v>8</v>
      </c>
      <c r="G532">
        <f ca="1">_xlfn.XLOOKUP(Orders[[#This Row],[Product ID]],Products[Product ID],Products[Selling Price])</f>
        <v>22000</v>
      </c>
      <c r="H532" s="6">
        <f t="shared" ca="1" si="25"/>
        <v>0.14000000000000001</v>
      </c>
      <c r="I532">
        <f ca="1">Orders[[#This Row],[Quantity]]*Orders[[#This Row],[Unit Price]]*(1-Orders[[#This Row],[Discount%]])</f>
        <v>151360</v>
      </c>
      <c r="J532" t="str" cm="1">
        <f t="array" aca="1" ref="J532" ca="1">INDEX(PaymentMethods[Payment Method],RANDBETWEEN(1,5))</f>
        <v>Debit Card</v>
      </c>
    </row>
    <row r="533" spans="1:10" x14ac:dyDescent="0.3">
      <c r="A533" t="str">
        <f t="shared" si="26"/>
        <v>O0532</v>
      </c>
      <c r="B533" s="6">
        <f ca="1">Orders[[#This Row],[Discount%]]</f>
        <v>0.17</v>
      </c>
      <c r="C533" t="str" cm="1">
        <f t="array" aca="1" ref="C533" ca="1">INDEX(Customers[Customer ID],RANDBETWEEN(1,200))</f>
        <v>C154</v>
      </c>
      <c r="D533" t="str" cm="1">
        <f t="array" aca="1" ref="D533" ca="1">INDEX(Products[Product ID],RANDBETWEEN(1,50))</f>
        <v>P040</v>
      </c>
      <c r="E533" t="str" cm="1">
        <f t="array" aca="1" ref="E533" ca="1">INDEX(Warehouses[Warehouse ID],RANDBETWEEN(1,8))</f>
        <v>W002</v>
      </c>
      <c r="F533">
        <f t="shared" ca="1" si="24"/>
        <v>1</v>
      </c>
      <c r="G533">
        <f ca="1">_xlfn.XLOOKUP(Orders[[#This Row],[Product ID]],Products[Product ID],Products[Selling Price])</f>
        <v>180</v>
      </c>
      <c r="H533" s="6">
        <f t="shared" ca="1" si="25"/>
        <v>0.17</v>
      </c>
      <c r="I533">
        <f ca="1">Orders[[#This Row],[Quantity]]*Orders[[#This Row],[Unit Price]]*(1-Orders[[#This Row],[Discount%]])</f>
        <v>149.4</v>
      </c>
      <c r="J533" t="str" cm="1">
        <f t="array" aca="1" ref="J533" ca="1">INDEX(PaymentMethods[Payment Method],RANDBETWEEN(1,5))</f>
        <v>Net Banking</v>
      </c>
    </row>
    <row r="534" spans="1:10" x14ac:dyDescent="0.3">
      <c r="A534" t="str">
        <f t="shared" si="26"/>
        <v>O0533</v>
      </c>
      <c r="B534" s="6">
        <f ca="1">Orders[[#This Row],[Discount%]]</f>
        <v>0.1</v>
      </c>
      <c r="C534" t="str" cm="1">
        <f t="array" aca="1" ref="C534" ca="1">INDEX(Customers[Customer ID],RANDBETWEEN(1,200))</f>
        <v>C064</v>
      </c>
      <c r="D534" t="str" cm="1">
        <f t="array" aca="1" ref="D534" ca="1">INDEX(Products[Product ID],RANDBETWEEN(1,50))</f>
        <v>P047</v>
      </c>
      <c r="E534" t="str" cm="1">
        <f t="array" aca="1" ref="E534" ca="1">INDEX(Warehouses[Warehouse ID],RANDBETWEEN(1,8))</f>
        <v>W001</v>
      </c>
      <c r="F534">
        <f t="shared" ca="1" si="24"/>
        <v>10</v>
      </c>
      <c r="G534">
        <f ca="1">_xlfn.XLOOKUP(Orders[[#This Row],[Product ID]],Products[Product ID],Products[Selling Price])</f>
        <v>6200</v>
      </c>
      <c r="H534" s="6">
        <f t="shared" ca="1" si="25"/>
        <v>0.1</v>
      </c>
      <c r="I534">
        <f ca="1">Orders[[#This Row],[Quantity]]*Orders[[#This Row],[Unit Price]]*(1-Orders[[#This Row],[Discount%]])</f>
        <v>55800</v>
      </c>
      <c r="J534" t="str" cm="1">
        <f t="array" aca="1" ref="J534" ca="1">INDEX(PaymentMethods[Payment Method],RANDBETWEEN(1,5))</f>
        <v>Net Banking</v>
      </c>
    </row>
    <row r="535" spans="1:10" x14ac:dyDescent="0.3">
      <c r="A535" t="str">
        <f t="shared" si="26"/>
        <v>O0534</v>
      </c>
      <c r="B535" s="6">
        <f ca="1">Orders[[#This Row],[Discount%]]</f>
        <v>0.2</v>
      </c>
      <c r="C535" t="str" cm="1">
        <f t="array" aca="1" ref="C535" ca="1">INDEX(Customers[Customer ID],RANDBETWEEN(1,200))</f>
        <v>C138</v>
      </c>
      <c r="D535" t="str" cm="1">
        <f t="array" aca="1" ref="D535" ca="1">INDEX(Products[Product ID],RANDBETWEEN(1,50))</f>
        <v>P031</v>
      </c>
      <c r="E535" t="str" cm="1">
        <f t="array" aca="1" ref="E535" ca="1">INDEX(Warehouses[Warehouse ID],RANDBETWEEN(1,8))</f>
        <v>W001</v>
      </c>
      <c r="F535">
        <f t="shared" ca="1" si="24"/>
        <v>6</v>
      </c>
      <c r="G535">
        <f ca="1">_xlfn.XLOOKUP(Orders[[#This Row],[Product ID]],Products[Product ID],Products[Selling Price])</f>
        <v>90</v>
      </c>
      <c r="H535" s="6">
        <f t="shared" ca="1" si="25"/>
        <v>0.2</v>
      </c>
      <c r="I535">
        <f ca="1">Orders[[#This Row],[Quantity]]*Orders[[#This Row],[Unit Price]]*(1-Orders[[#This Row],[Discount%]])</f>
        <v>432</v>
      </c>
      <c r="J535" t="str" cm="1">
        <f t="array" aca="1" ref="J535" ca="1">INDEX(PaymentMethods[Payment Method],RANDBETWEEN(1,5))</f>
        <v>UPI</v>
      </c>
    </row>
    <row r="536" spans="1:10" x14ac:dyDescent="0.3">
      <c r="A536" t="str">
        <f t="shared" si="26"/>
        <v>O0535</v>
      </c>
      <c r="B536" s="6">
        <f ca="1">Orders[[#This Row],[Discount%]]</f>
        <v>0.02</v>
      </c>
      <c r="C536" t="str" cm="1">
        <f t="array" aca="1" ref="C536" ca="1">INDEX(Customers[Customer ID],RANDBETWEEN(1,200))</f>
        <v>C187</v>
      </c>
      <c r="D536" t="str" cm="1">
        <f t="array" aca="1" ref="D536" ca="1">INDEX(Products[Product ID],RANDBETWEEN(1,50))</f>
        <v>P005</v>
      </c>
      <c r="E536" t="str" cm="1">
        <f t="array" aca="1" ref="E536" ca="1">INDEX(Warehouses[Warehouse ID],RANDBETWEEN(1,8))</f>
        <v>W006</v>
      </c>
      <c r="F536">
        <f t="shared" ca="1" si="24"/>
        <v>4</v>
      </c>
      <c r="G536">
        <f ca="1">_xlfn.XLOOKUP(Orders[[#This Row],[Product ID]],Products[Product ID],Products[Selling Price])</f>
        <v>10500</v>
      </c>
      <c r="H536" s="6">
        <f t="shared" ca="1" si="25"/>
        <v>0.02</v>
      </c>
      <c r="I536">
        <f ca="1">Orders[[#This Row],[Quantity]]*Orders[[#This Row],[Unit Price]]*(1-Orders[[#This Row],[Discount%]])</f>
        <v>41160</v>
      </c>
      <c r="J536" t="str" cm="1">
        <f t="array" aca="1" ref="J536" ca="1">INDEX(PaymentMethods[Payment Method],RANDBETWEEN(1,5))</f>
        <v>Net Banking</v>
      </c>
    </row>
    <row r="537" spans="1:10" x14ac:dyDescent="0.3">
      <c r="A537" t="str">
        <f t="shared" si="26"/>
        <v>O0536</v>
      </c>
      <c r="B537" s="6">
        <f ca="1">Orders[[#This Row],[Discount%]]</f>
        <v>0.06</v>
      </c>
      <c r="C537" t="str" cm="1">
        <f t="array" aca="1" ref="C537" ca="1">INDEX(Customers[Customer ID],RANDBETWEEN(1,200))</f>
        <v>C047</v>
      </c>
      <c r="D537" t="str" cm="1">
        <f t="array" aca="1" ref="D537" ca="1">INDEX(Products[Product ID],RANDBETWEEN(1,50))</f>
        <v>P034</v>
      </c>
      <c r="E537" t="str" cm="1">
        <f t="array" aca="1" ref="E537" ca="1">INDEX(Warehouses[Warehouse ID],RANDBETWEEN(1,8))</f>
        <v>W006</v>
      </c>
      <c r="F537">
        <f t="shared" ca="1" si="24"/>
        <v>8</v>
      </c>
      <c r="G537">
        <f ca="1">_xlfn.XLOOKUP(Orders[[#This Row],[Product ID]],Products[Product ID],Products[Selling Price])</f>
        <v>120</v>
      </c>
      <c r="H537" s="6">
        <f t="shared" ca="1" si="25"/>
        <v>0.06</v>
      </c>
      <c r="I537">
        <f ca="1">Orders[[#This Row],[Quantity]]*Orders[[#This Row],[Unit Price]]*(1-Orders[[#This Row],[Discount%]])</f>
        <v>902.4</v>
      </c>
      <c r="J537" t="str" cm="1">
        <f t="array" aca="1" ref="J537" ca="1">INDEX(PaymentMethods[Payment Method],RANDBETWEEN(1,5))</f>
        <v>UPI</v>
      </c>
    </row>
    <row r="538" spans="1:10" x14ac:dyDescent="0.3">
      <c r="A538" t="str">
        <f t="shared" si="26"/>
        <v>O0537</v>
      </c>
      <c r="B538" s="6">
        <f ca="1">Orders[[#This Row],[Discount%]]</f>
        <v>0.2</v>
      </c>
      <c r="C538" t="str" cm="1">
        <f t="array" aca="1" ref="C538" ca="1">INDEX(Customers[Customer ID],RANDBETWEEN(1,200))</f>
        <v>C151</v>
      </c>
      <c r="D538" t="str" cm="1">
        <f t="array" aca="1" ref="D538" ca="1">INDEX(Products[Product ID],RANDBETWEEN(1,50))</f>
        <v>P044</v>
      </c>
      <c r="E538" t="str" cm="1">
        <f t="array" aca="1" ref="E538" ca="1">INDEX(Warehouses[Warehouse ID],RANDBETWEEN(1,8))</f>
        <v>W004</v>
      </c>
      <c r="F538">
        <f t="shared" ca="1" si="24"/>
        <v>10</v>
      </c>
      <c r="G538">
        <f ca="1">_xlfn.XLOOKUP(Orders[[#This Row],[Product ID]],Products[Product ID],Products[Selling Price])</f>
        <v>8500</v>
      </c>
      <c r="H538" s="6">
        <f t="shared" ca="1" si="25"/>
        <v>0.2</v>
      </c>
      <c r="I538">
        <f ca="1">Orders[[#This Row],[Quantity]]*Orders[[#This Row],[Unit Price]]*(1-Orders[[#This Row],[Discount%]])</f>
        <v>68000</v>
      </c>
      <c r="J538" t="str" cm="1">
        <f t="array" aca="1" ref="J538" ca="1">INDEX(PaymentMethods[Payment Method],RANDBETWEEN(1,5))</f>
        <v>UPI</v>
      </c>
    </row>
    <row r="539" spans="1:10" x14ac:dyDescent="0.3">
      <c r="A539" t="str">
        <f t="shared" si="26"/>
        <v>O0538</v>
      </c>
      <c r="B539" s="6">
        <f ca="1">Orders[[#This Row],[Discount%]]</f>
        <v>0.06</v>
      </c>
      <c r="C539" t="str" cm="1">
        <f t="array" aca="1" ref="C539" ca="1">INDEX(Customers[Customer ID],RANDBETWEEN(1,200))</f>
        <v>C087</v>
      </c>
      <c r="D539" t="str" cm="1">
        <f t="array" aca="1" ref="D539" ca="1">INDEX(Products[Product ID],RANDBETWEEN(1,50))</f>
        <v>P008</v>
      </c>
      <c r="E539" t="str" cm="1">
        <f t="array" aca="1" ref="E539" ca="1">INDEX(Warehouses[Warehouse ID],RANDBETWEEN(1,8))</f>
        <v>W008</v>
      </c>
      <c r="F539">
        <f t="shared" ca="1" si="24"/>
        <v>4</v>
      </c>
      <c r="G539">
        <f ca="1">_xlfn.XLOOKUP(Orders[[#This Row],[Product ID]],Products[Product ID],Products[Selling Price])</f>
        <v>4200</v>
      </c>
      <c r="H539" s="6">
        <f t="shared" ca="1" si="25"/>
        <v>0.06</v>
      </c>
      <c r="I539">
        <f ca="1">Orders[[#This Row],[Quantity]]*Orders[[#This Row],[Unit Price]]*(1-Orders[[#This Row],[Discount%]])</f>
        <v>15792</v>
      </c>
      <c r="J539" t="str" cm="1">
        <f t="array" aca="1" ref="J539" ca="1">INDEX(PaymentMethods[Payment Method],RANDBETWEEN(1,5))</f>
        <v>Net Banking</v>
      </c>
    </row>
    <row r="540" spans="1:10" x14ac:dyDescent="0.3">
      <c r="A540" t="str">
        <f t="shared" si="26"/>
        <v>O0539</v>
      </c>
      <c r="B540" s="6">
        <f ca="1">Orders[[#This Row],[Discount%]]</f>
        <v>0.03</v>
      </c>
      <c r="C540" t="str" cm="1">
        <f t="array" aca="1" ref="C540" ca="1">INDEX(Customers[Customer ID],RANDBETWEEN(1,200))</f>
        <v>C159</v>
      </c>
      <c r="D540" t="str" cm="1">
        <f t="array" aca="1" ref="D540" ca="1">INDEX(Products[Product ID],RANDBETWEEN(1,50))</f>
        <v>P028</v>
      </c>
      <c r="E540" t="str" cm="1">
        <f t="array" aca="1" ref="E540" ca="1">INDEX(Warehouses[Warehouse ID],RANDBETWEEN(1,8))</f>
        <v>W005</v>
      </c>
      <c r="F540">
        <f t="shared" ca="1" si="24"/>
        <v>2</v>
      </c>
      <c r="G540">
        <f ca="1">_xlfn.XLOOKUP(Orders[[#This Row],[Product ID]],Products[Product ID],Products[Selling Price])</f>
        <v>16500</v>
      </c>
      <c r="H540" s="6">
        <f t="shared" ca="1" si="25"/>
        <v>0.03</v>
      </c>
      <c r="I540">
        <f ca="1">Orders[[#This Row],[Quantity]]*Orders[[#This Row],[Unit Price]]*(1-Orders[[#This Row],[Discount%]])</f>
        <v>32010</v>
      </c>
      <c r="J540" t="str" cm="1">
        <f t="array" aca="1" ref="J540" ca="1">INDEX(PaymentMethods[Payment Method],RANDBETWEEN(1,5))</f>
        <v>Credit Card</v>
      </c>
    </row>
    <row r="541" spans="1:10" x14ac:dyDescent="0.3">
      <c r="A541" t="str">
        <f t="shared" si="26"/>
        <v>O0540</v>
      </c>
      <c r="B541" s="6">
        <f ca="1">Orders[[#This Row],[Discount%]]</f>
        <v>0.19</v>
      </c>
      <c r="C541" t="str" cm="1">
        <f t="array" aca="1" ref="C541" ca="1">INDEX(Customers[Customer ID],RANDBETWEEN(1,200))</f>
        <v>C152</v>
      </c>
      <c r="D541" t="str" cm="1">
        <f t="array" aca="1" ref="D541" ca="1">INDEX(Products[Product ID],RANDBETWEEN(1,50))</f>
        <v>P024</v>
      </c>
      <c r="E541" t="str" cm="1">
        <f t="array" aca="1" ref="E541" ca="1">INDEX(Warehouses[Warehouse ID],RANDBETWEEN(1,8))</f>
        <v>W008</v>
      </c>
      <c r="F541">
        <f t="shared" ca="1" si="24"/>
        <v>4</v>
      </c>
      <c r="G541">
        <f ca="1">_xlfn.XLOOKUP(Orders[[#This Row],[Product ID]],Products[Product ID],Products[Selling Price])</f>
        <v>1700</v>
      </c>
      <c r="H541" s="6">
        <f t="shared" ca="1" si="25"/>
        <v>0.19</v>
      </c>
      <c r="I541">
        <f ca="1">Orders[[#This Row],[Quantity]]*Orders[[#This Row],[Unit Price]]*(1-Orders[[#This Row],[Discount%]])</f>
        <v>5508</v>
      </c>
      <c r="J541" t="str" cm="1">
        <f t="array" aca="1" ref="J541" ca="1">INDEX(PaymentMethods[Payment Method],RANDBETWEEN(1,5))</f>
        <v>Cash</v>
      </c>
    </row>
    <row r="542" spans="1:10" x14ac:dyDescent="0.3">
      <c r="A542" t="str">
        <f t="shared" si="26"/>
        <v>O0541</v>
      </c>
      <c r="B542" s="6">
        <f ca="1">Orders[[#This Row],[Discount%]]</f>
        <v>0.13</v>
      </c>
      <c r="C542" t="str" cm="1">
        <f t="array" aca="1" ref="C542" ca="1">INDEX(Customers[Customer ID],RANDBETWEEN(1,200))</f>
        <v>C168</v>
      </c>
      <c r="D542" t="str" cm="1">
        <f t="array" aca="1" ref="D542" ca="1">INDEX(Products[Product ID],RANDBETWEEN(1,50))</f>
        <v>P002</v>
      </c>
      <c r="E542" t="str" cm="1">
        <f t="array" aca="1" ref="E542" ca="1">INDEX(Warehouses[Warehouse ID],RANDBETWEEN(1,8))</f>
        <v>W007</v>
      </c>
      <c r="F542">
        <f t="shared" ca="1" si="24"/>
        <v>8</v>
      </c>
      <c r="G542">
        <f ca="1">_xlfn.XLOOKUP(Orders[[#This Row],[Product ID]],Products[Product ID],Products[Selling Price])</f>
        <v>550</v>
      </c>
      <c r="H542" s="6">
        <f t="shared" ca="1" si="25"/>
        <v>0.13</v>
      </c>
      <c r="I542">
        <f ca="1">Orders[[#This Row],[Quantity]]*Orders[[#This Row],[Unit Price]]*(1-Orders[[#This Row],[Discount%]])</f>
        <v>3828</v>
      </c>
      <c r="J542" t="str" cm="1">
        <f t="array" aca="1" ref="J542" ca="1">INDEX(PaymentMethods[Payment Method],RANDBETWEEN(1,5))</f>
        <v>UPI</v>
      </c>
    </row>
    <row r="543" spans="1:10" x14ac:dyDescent="0.3">
      <c r="A543" t="str">
        <f t="shared" si="26"/>
        <v>O0542</v>
      </c>
      <c r="B543" s="6">
        <f ca="1">Orders[[#This Row],[Discount%]]</f>
        <v>0.06</v>
      </c>
      <c r="C543" t="str" cm="1">
        <f t="array" aca="1" ref="C543" ca="1">INDEX(Customers[Customer ID],RANDBETWEEN(1,200))</f>
        <v>C185</v>
      </c>
      <c r="D543" t="str" cm="1">
        <f t="array" aca="1" ref="D543" ca="1">INDEX(Products[Product ID],RANDBETWEEN(1,50))</f>
        <v>P039</v>
      </c>
      <c r="E543" t="str" cm="1">
        <f t="array" aca="1" ref="E543" ca="1">INDEX(Warehouses[Warehouse ID],RANDBETWEEN(1,8))</f>
        <v>W001</v>
      </c>
      <c r="F543">
        <f t="shared" ca="1" si="24"/>
        <v>7</v>
      </c>
      <c r="G543">
        <f ca="1">_xlfn.XLOOKUP(Orders[[#This Row],[Product ID]],Products[Product ID],Products[Selling Price])</f>
        <v>250</v>
      </c>
      <c r="H543" s="6">
        <f t="shared" ca="1" si="25"/>
        <v>0.06</v>
      </c>
      <c r="I543">
        <f ca="1">Orders[[#This Row],[Quantity]]*Orders[[#This Row],[Unit Price]]*(1-Orders[[#This Row],[Discount%]])</f>
        <v>1645</v>
      </c>
      <c r="J543" t="str" cm="1">
        <f t="array" aca="1" ref="J543" ca="1">INDEX(PaymentMethods[Payment Method],RANDBETWEEN(1,5))</f>
        <v>Cash</v>
      </c>
    </row>
    <row r="544" spans="1:10" x14ac:dyDescent="0.3">
      <c r="A544" t="str">
        <f t="shared" si="26"/>
        <v>O0543</v>
      </c>
      <c r="B544" s="6">
        <f ca="1">Orders[[#This Row],[Discount%]]</f>
        <v>0.1</v>
      </c>
      <c r="C544" t="str" cm="1">
        <f t="array" aca="1" ref="C544" ca="1">INDEX(Customers[Customer ID],RANDBETWEEN(1,200))</f>
        <v>C195</v>
      </c>
      <c r="D544" t="str" cm="1">
        <f t="array" aca="1" ref="D544" ca="1">INDEX(Products[Product ID],RANDBETWEEN(1,50))</f>
        <v>P004</v>
      </c>
      <c r="E544" t="str" cm="1">
        <f t="array" aca="1" ref="E544" ca="1">INDEX(Warehouses[Warehouse ID],RANDBETWEEN(1,8))</f>
        <v>W001</v>
      </c>
      <c r="F544">
        <f t="shared" ca="1" si="24"/>
        <v>1</v>
      </c>
      <c r="G544">
        <f ca="1">_xlfn.XLOOKUP(Orders[[#This Row],[Product ID]],Products[Product ID],Products[Selling Price])</f>
        <v>9000</v>
      </c>
      <c r="H544" s="6">
        <f t="shared" ca="1" si="25"/>
        <v>0.1</v>
      </c>
      <c r="I544">
        <f ca="1">Orders[[#This Row],[Quantity]]*Orders[[#This Row],[Unit Price]]*(1-Orders[[#This Row],[Discount%]])</f>
        <v>8100</v>
      </c>
      <c r="J544" t="str" cm="1">
        <f t="array" aca="1" ref="J544" ca="1">INDEX(PaymentMethods[Payment Method],RANDBETWEEN(1,5))</f>
        <v>Cash</v>
      </c>
    </row>
    <row r="545" spans="1:10" x14ac:dyDescent="0.3">
      <c r="A545" t="str">
        <f t="shared" si="26"/>
        <v>O0544</v>
      </c>
      <c r="B545" s="6">
        <f ca="1">Orders[[#This Row],[Discount%]]</f>
        <v>7.0000000000000007E-2</v>
      </c>
      <c r="C545" t="str" cm="1">
        <f t="array" aca="1" ref="C545" ca="1">INDEX(Customers[Customer ID],RANDBETWEEN(1,200))</f>
        <v>C073</v>
      </c>
      <c r="D545" t="str" cm="1">
        <f t="array" aca="1" ref="D545" ca="1">INDEX(Products[Product ID],RANDBETWEEN(1,50))</f>
        <v>P001</v>
      </c>
      <c r="E545" t="str" cm="1">
        <f t="array" aca="1" ref="E545" ca="1">INDEX(Warehouses[Warehouse ID],RANDBETWEEN(1,8))</f>
        <v>W008</v>
      </c>
      <c r="F545">
        <f t="shared" ca="1" si="24"/>
        <v>5</v>
      </c>
      <c r="G545">
        <f ca="1">_xlfn.XLOOKUP(Orders[[#This Row],[Product ID]],Products[Product ID],Products[Selling Price])</f>
        <v>42000</v>
      </c>
      <c r="H545" s="6">
        <f t="shared" ca="1" si="25"/>
        <v>7.0000000000000007E-2</v>
      </c>
      <c r="I545">
        <f ca="1">Orders[[#This Row],[Quantity]]*Orders[[#This Row],[Unit Price]]*(1-Orders[[#This Row],[Discount%]])</f>
        <v>195300</v>
      </c>
      <c r="J545" t="str" cm="1">
        <f t="array" aca="1" ref="J545" ca="1">INDEX(PaymentMethods[Payment Method],RANDBETWEEN(1,5))</f>
        <v>UPI</v>
      </c>
    </row>
    <row r="546" spans="1:10" x14ac:dyDescent="0.3">
      <c r="A546" t="str">
        <f t="shared" si="26"/>
        <v>O0545</v>
      </c>
      <c r="B546" s="6">
        <f ca="1">Orders[[#This Row],[Discount%]]</f>
        <v>0.14000000000000001</v>
      </c>
      <c r="C546" t="str" cm="1">
        <f t="array" aca="1" ref="C546" ca="1">INDEX(Customers[Customer ID],RANDBETWEEN(1,200))</f>
        <v>C157</v>
      </c>
      <c r="D546" t="str" cm="1">
        <f t="array" aca="1" ref="D546" ca="1">INDEX(Products[Product ID],RANDBETWEEN(1,50))</f>
        <v>P002</v>
      </c>
      <c r="E546" t="str" cm="1">
        <f t="array" aca="1" ref="E546" ca="1">INDEX(Warehouses[Warehouse ID],RANDBETWEEN(1,8))</f>
        <v>W005</v>
      </c>
      <c r="F546">
        <f t="shared" ca="1" si="24"/>
        <v>10</v>
      </c>
      <c r="G546">
        <f ca="1">_xlfn.XLOOKUP(Orders[[#This Row],[Product ID]],Products[Product ID],Products[Selling Price])</f>
        <v>550</v>
      </c>
      <c r="H546" s="6">
        <f t="shared" ca="1" si="25"/>
        <v>0.14000000000000001</v>
      </c>
      <c r="I546">
        <f ca="1">Orders[[#This Row],[Quantity]]*Orders[[#This Row],[Unit Price]]*(1-Orders[[#This Row],[Discount%]])</f>
        <v>4730</v>
      </c>
      <c r="J546" t="str" cm="1">
        <f t="array" aca="1" ref="J546" ca="1">INDEX(PaymentMethods[Payment Method],RANDBETWEEN(1,5))</f>
        <v>UPI</v>
      </c>
    </row>
    <row r="547" spans="1:10" x14ac:dyDescent="0.3">
      <c r="A547" t="str">
        <f t="shared" si="26"/>
        <v>O0546</v>
      </c>
      <c r="B547" s="6">
        <f ca="1">Orders[[#This Row],[Discount%]]</f>
        <v>0.16</v>
      </c>
      <c r="C547" t="str" cm="1">
        <f t="array" aca="1" ref="C547" ca="1">INDEX(Customers[Customer ID],RANDBETWEEN(1,200))</f>
        <v>C040</v>
      </c>
      <c r="D547" t="str" cm="1">
        <f t="array" aca="1" ref="D547" ca="1">INDEX(Products[Product ID],RANDBETWEEN(1,50))</f>
        <v>P046</v>
      </c>
      <c r="E547" t="str" cm="1">
        <f t="array" aca="1" ref="E547" ca="1">INDEX(Warehouses[Warehouse ID],RANDBETWEEN(1,8))</f>
        <v>W007</v>
      </c>
      <c r="F547">
        <f t="shared" ca="1" si="24"/>
        <v>7</v>
      </c>
      <c r="G547">
        <f ca="1">_xlfn.XLOOKUP(Orders[[#This Row],[Product ID]],Products[Product ID],Products[Selling Price])</f>
        <v>2500</v>
      </c>
      <c r="H547" s="6">
        <f t="shared" ca="1" si="25"/>
        <v>0.16</v>
      </c>
      <c r="I547">
        <f ca="1">Orders[[#This Row],[Quantity]]*Orders[[#This Row],[Unit Price]]*(1-Orders[[#This Row],[Discount%]])</f>
        <v>14700</v>
      </c>
      <c r="J547" t="str" cm="1">
        <f t="array" aca="1" ref="J547" ca="1">INDEX(PaymentMethods[Payment Method],RANDBETWEEN(1,5))</f>
        <v>Cash</v>
      </c>
    </row>
    <row r="548" spans="1:10" x14ac:dyDescent="0.3">
      <c r="A548" t="str">
        <f t="shared" si="26"/>
        <v>O0547</v>
      </c>
      <c r="B548" s="6">
        <f ca="1">Orders[[#This Row],[Discount%]]</f>
        <v>0.17</v>
      </c>
      <c r="C548" t="str" cm="1">
        <f t="array" aca="1" ref="C548" ca="1">INDEX(Customers[Customer ID],RANDBETWEEN(1,200))</f>
        <v>C015</v>
      </c>
      <c r="D548" t="str" cm="1">
        <f t="array" aca="1" ref="D548" ca="1">INDEX(Products[Product ID],RANDBETWEEN(1,50))</f>
        <v>P050</v>
      </c>
      <c r="E548" t="str" cm="1">
        <f t="array" aca="1" ref="E548" ca="1">INDEX(Warehouses[Warehouse ID],RANDBETWEEN(1,8))</f>
        <v>W008</v>
      </c>
      <c r="F548">
        <f t="shared" ca="1" si="24"/>
        <v>3</v>
      </c>
      <c r="G548">
        <f ca="1">_xlfn.XLOOKUP(Orders[[#This Row],[Product ID]],Products[Product ID],Products[Selling Price])</f>
        <v>12000</v>
      </c>
      <c r="H548" s="6">
        <f t="shared" ca="1" si="25"/>
        <v>0.17</v>
      </c>
      <c r="I548">
        <f ca="1">Orders[[#This Row],[Quantity]]*Orders[[#This Row],[Unit Price]]*(1-Orders[[#This Row],[Discount%]])</f>
        <v>29880</v>
      </c>
      <c r="J548" t="str" cm="1">
        <f t="array" aca="1" ref="J548" ca="1">INDEX(PaymentMethods[Payment Method],RANDBETWEEN(1,5))</f>
        <v>Debit Card</v>
      </c>
    </row>
    <row r="549" spans="1:10" x14ac:dyDescent="0.3">
      <c r="A549" t="str">
        <f t="shared" si="26"/>
        <v>O0548</v>
      </c>
      <c r="B549" s="6">
        <f ca="1">Orders[[#This Row],[Discount%]]</f>
        <v>0.06</v>
      </c>
      <c r="C549" t="str" cm="1">
        <f t="array" aca="1" ref="C549" ca="1">INDEX(Customers[Customer ID],RANDBETWEEN(1,200))</f>
        <v>C138</v>
      </c>
      <c r="D549" t="str" cm="1">
        <f t="array" aca="1" ref="D549" ca="1">INDEX(Products[Product ID],RANDBETWEEN(1,50))</f>
        <v>P012</v>
      </c>
      <c r="E549" t="str" cm="1">
        <f t="array" aca="1" ref="E549" ca="1">INDEX(Warehouses[Warehouse ID],RANDBETWEEN(1,8))</f>
        <v>W008</v>
      </c>
      <c r="F549">
        <f t="shared" ca="1" si="24"/>
        <v>1</v>
      </c>
      <c r="G549">
        <f ca="1">_xlfn.XLOOKUP(Orders[[#This Row],[Product ID]],Products[Product ID],Products[Selling Price])</f>
        <v>80</v>
      </c>
      <c r="H549" s="6">
        <f t="shared" ca="1" si="25"/>
        <v>0.06</v>
      </c>
      <c r="I549">
        <f ca="1">Orders[[#This Row],[Quantity]]*Orders[[#This Row],[Unit Price]]*(1-Orders[[#This Row],[Discount%]])</f>
        <v>75.199999999999989</v>
      </c>
      <c r="J549" t="str" cm="1">
        <f t="array" aca="1" ref="J549" ca="1">INDEX(PaymentMethods[Payment Method],RANDBETWEEN(1,5))</f>
        <v>Net Banking</v>
      </c>
    </row>
    <row r="550" spans="1:10" x14ac:dyDescent="0.3">
      <c r="A550" t="str">
        <f t="shared" si="26"/>
        <v>O0549</v>
      </c>
      <c r="B550" s="6">
        <f ca="1">Orders[[#This Row],[Discount%]]</f>
        <v>0.1</v>
      </c>
      <c r="C550" t="str" cm="1">
        <f t="array" aca="1" ref="C550" ca="1">INDEX(Customers[Customer ID],RANDBETWEEN(1,200))</f>
        <v>C116</v>
      </c>
      <c r="D550" t="str" cm="1">
        <f t="array" aca="1" ref="D550" ca="1">INDEX(Products[Product ID],RANDBETWEEN(1,50))</f>
        <v>P014</v>
      </c>
      <c r="E550" t="str" cm="1">
        <f t="array" aca="1" ref="E550" ca="1">INDEX(Warehouses[Warehouse ID],RANDBETWEEN(1,8))</f>
        <v>W003</v>
      </c>
      <c r="F550">
        <f t="shared" ca="1" si="24"/>
        <v>6</v>
      </c>
      <c r="G550">
        <f ca="1">_xlfn.XLOOKUP(Orders[[#This Row],[Product ID]],Products[Product ID],Products[Selling Price])</f>
        <v>800</v>
      </c>
      <c r="H550" s="6">
        <f t="shared" ca="1" si="25"/>
        <v>0.1</v>
      </c>
      <c r="I550">
        <f ca="1">Orders[[#This Row],[Quantity]]*Orders[[#This Row],[Unit Price]]*(1-Orders[[#This Row],[Discount%]])</f>
        <v>4320</v>
      </c>
      <c r="J550" t="str" cm="1">
        <f t="array" aca="1" ref="J550" ca="1">INDEX(PaymentMethods[Payment Method],RANDBETWEEN(1,5))</f>
        <v>UPI</v>
      </c>
    </row>
    <row r="551" spans="1:10" x14ac:dyDescent="0.3">
      <c r="A551" t="str">
        <f t="shared" si="26"/>
        <v>O0550</v>
      </c>
      <c r="B551" s="6">
        <f ca="1">Orders[[#This Row],[Discount%]]</f>
        <v>0.12</v>
      </c>
      <c r="C551" t="str" cm="1">
        <f t="array" aca="1" ref="C551" ca="1">INDEX(Customers[Customer ID],RANDBETWEEN(1,200))</f>
        <v>C048</v>
      </c>
      <c r="D551" t="str" cm="1">
        <f t="array" aca="1" ref="D551" ca="1">INDEX(Products[Product ID],RANDBETWEEN(1,50))</f>
        <v>P049</v>
      </c>
      <c r="E551" t="str" cm="1">
        <f t="array" aca="1" ref="E551" ca="1">INDEX(Warehouses[Warehouse ID],RANDBETWEEN(1,8))</f>
        <v>W005</v>
      </c>
      <c r="F551">
        <f t="shared" ca="1" si="24"/>
        <v>3</v>
      </c>
      <c r="G551">
        <f ca="1">_xlfn.XLOOKUP(Orders[[#This Row],[Product ID]],Products[Product ID],Products[Selling Price])</f>
        <v>3800</v>
      </c>
      <c r="H551" s="6">
        <f t="shared" ca="1" si="25"/>
        <v>0.12</v>
      </c>
      <c r="I551">
        <f ca="1">Orders[[#This Row],[Quantity]]*Orders[[#This Row],[Unit Price]]*(1-Orders[[#This Row],[Discount%]])</f>
        <v>10032</v>
      </c>
      <c r="J551" t="str" cm="1">
        <f t="array" aca="1" ref="J551" ca="1">INDEX(PaymentMethods[Payment Method],RANDBETWEEN(1,5))</f>
        <v>Net Banking</v>
      </c>
    </row>
    <row r="552" spans="1:10" x14ac:dyDescent="0.3">
      <c r="A552" t="str">
        <f t="shared" si="26"/>
        <v>O0551</v>
      </c>
      <c r="B552" s="6">
        <f ca="1">Orders[[#This Row],[Discount%]]</f>
        <v>0.04</v>
      </c>
      <c r="C552" t="str" cm="1">
        <f t="array" aca="1" ref="C552" ca="1">INDEX(Customers[Customer ID],RANDBETWEEN(1,200))</f>
        <v>C083</v>
      </c>
      <c r="D552" t="str" cm="1">
        <f t="array" aca="1" ref="D552" ca="1">INDEX(Products[Product ID],RANDBETWEEN(1,50))</f>
        <v>P001</v>
      </c>
      <c r="E552" t="str" cm="1">
        <f t="array" aca="1" ref="E552" ca="1">INDEX(Warehouses[Warehouse ID],RANDBETWEEN(1,8))</f>
        <v>W005</v>
      </c>
      <c r="F552">
        <f t="shared" ca="1" si="24"/>
        <v>2</v>
      </c>
      <c r="G552">
        <f ca="1">_xlfn.XLOOKUP(Orders[[#This Row],[Product ID]],Products[Product ID],Products[Selling Price])</f>
        <v>42000</v>
      </c>
      <c r="H552" s="6">
        <f t="shared" ca="1" si="25"/>
        <v>0.04</v>
      </c>
      <c r="I552">
        <f ca="1">Orders[[#This Row],[Quantity]]*Orders[[#This Row],[Unit Price]]*(1-Orders[[#This Row],[Discount%]])</f>
        <v>80640</v>
      </c>
      <c r="J552" t="str" cm="1">
        <f t="array" aca="1" ref="J552" ca="1">INDEX(PaymentMethods[Payment Method],RANDBETWEEN(1,5))</f>
        <v>Debit Card</v>
      </c>
    </row>
    <row r="553" spans="1:10" x14ac:dyDescent="0.3">
      <c r="A553" t="str">
        <f t="shared" si="26"/>
        <v>O0552</v>
      </c>
      <c r="B553" s="6">
        <f ca="1">Orders[[#This Row],[Discount%]]</f>
        <v>0.1</v>
      </c>
      <c r="C553" t="str" cm="1">
        <f t="array" aca="1" ref="C553" ca="1">INDEX(Customers[Customer ID],RANDBETWEEN(1,200))</f>
        <v>C038</v>
      </c>
      <c r="D553" t="str" cm="1">
        <f t="array" aca="1" ref="D553" ca="1">INDEX(Products[Product ID],RANDBETWEEN(1,50))</f>
        <v>P031</v>
      </c>
      <c r="E553" t="str" cm="1">
        <f t="array" aca="1" ref="E553" ca="1">INDEX(Warehouses[Warehouse ID],RANDBETWEEN(1,8))</f>
        <v>W007</v>
      </c>
      <c r="F553">
        <f t="shared" ca="1" si="24"/>
        <v>9</v>
      </c>
      <c r="G553">
        <f ca="1">_xlfn.XLOOKUP(Orders[[#This Row],[Product ID]],Products[Product ID],Products[Selling Price])</f>
        <v>90</v>
      </c>
      <c r="H553" s="6">
        <f t="shared" ca="1" si="25"/>
        <v>0.1</v>
      </c>
      <c r="I553">
        <f ca="1">Orders[[#This Row],[Quantity]]*Orders[[#This Row],[Unit Price]]*(1-Orders[[#This Row],[Discount%]])</f>
        <v>729</v>
      </c>
      <c r="J553" t="str" cm="1">
        <f t="array" aca="1" ref="J553" ca="1">INDEX(PaymentMethods[Payment Method],RANDBETWEEN(1,5))</f>
        <v>Cash</v>
      </c>
    </row>
    <row r="554" spans="1:10" x14ac:dyDescent="0.3">
      <c r="A554" t="str">
        <f t="shared" si="26"/>
        <v>O0553</v>
      </c>
      <c r="B554" s="6">
        <f ca="1">Orders[[#This Row],[Discount%]]</f>
        <v>0.11</v>
      </c>
      <c r="C554" t="str" cm="1">
        <f t="array" aca="1" ref="C554" ca="1">INDEX(Customers[Customer ID],RANDBETWEEN(1,200))</f>
        <v>C015</v>
      </c>
      <c r="D554" t="str" cm="1">
        <f t="array" aca="1" ref="D554" ca="1">INDEX(Products[Product ID],RANDBETWEEN(1,50))</f>
        <v>P031</v>
      </c>
      <c r="E554" t="str" cm="1">
        <f t="array" aca="1" ref="E554" ca="1">INDEX(Warehouses[Warehouse ID],RANDBETWEEN(1,8))</f>
        <v>W002</v>
      </c>
      <c r="F554">
        <f t="shared" ca="1" si="24"/>
        <v>1</v>
      </c>
      <c r="G554">
        <f ca="1">_xlfn.XLOOKUP(Orders[[#This Row],[Product ID]],Products[Product ID],Products[Selling Price])</f>
        <v>90</v>
      </c>
      <c r="H554" s="6">
        <f t="shared" ca="1" si="25"/>
        <v>0.11</v>
      </c>
      <c r="I554">
        <f ca="1">Orders[[#This Row],[Quantity]]*Orders[[#This Row],[Unit Price]]*(1-Orders[[#This Row],[Discount%]])</f>
        <v>80.099999999999994</v>
      </c>
      <c r="J554" t="str" cm="1">
        <f t="array" aca="1" ref="J554" ca="1">INDEX(PaymentMethods[Payment Method],RANDBETWEEN(1,5))</f>
        <v>Debit Card</v>
      </c>
    </row>
    <row r="555" spans="1:10" x14ac:dyDescent="0.3">
      <c r="A555" t="str">
        <f t="shared" si="26"/>
        <v>O0554</v>
      </c>
      <c r="B555" s="6">
        <f ca="1">Orders[[#This Row],[Discount%]]</f>
        <v>0.15</v>
      </c>
      <c r="C555" t="str" cm="1">
        <f t="array" aca="1" ref="C555" ca="1">INDEX(Customers[Customer ID],RANDBETWEEN(1,200))</f>
        <v>C131</v>
      </c>
      <c r="D555" t="str" cm="1">
        <f t="array" aca="1" ref="D555" ca="1">INDEX(Products[Product ID],RANDBETWEEN(1,50))</f>
        <v>P028</v>
      </c>
      <c r="E555" t="str" cm="1">
        <f t="array" aca="1" ref="E555" ca="1">INDEX(Warehouses[Warehouse ID],RANDBETWEEN(1,8))</f>
        <v>W003</v>
      </c>
      <c r="F555">
        <f t="shared" ca="1" si="24"/>
        <v>4</v>
      </c>
      <c r="G555">
        <f ca="1">_xlfn.XLOOKUP(Orders[[#This Row],[Product ID]],Products[Product ID],Products[Selling Price])</f>
        <v>16500</v>
      </c>
      <c r="H555" s="6">
        <f t="shared" ca="1" si="25"/>
        <v>0.15</v>
      </c>
      <c r="I555">
        <f ca="1">Orders[[#This Row],[Quantity]]*Orders[[#This Row],[Unit Price]]*(1-Orders[[#This Row],[Discount%]])</f>
        <v>56100</v>
      </c>
      <c r="J555" t="str" cm="1">
        <f t="array" aca="1" ref="J555" ca="1">INDEX(PaymentMethods[Payment Method],RANDBETWEEN(1,5))</f>
        <v>UPI</v>
      </c>
    </row>
    <row r="556" spans="1:10" x14ac:dyDescent="0.3">
      <c r="A556" t="str">
        <f t="shared" si="26"/>
        <v>O0555</v>
      </c>
      <c r="B556" s="6">
        <f ca="1">Orders[[#This Row],[Discount%]]</f>
        <v>0.06</v>
      </c>
      <c r="C556" t="str" cm="1">
        <f t="array" aca="1" ref="C556" ca="1">INDEX(Customers[Customer ID],RANDBETWEEN(1,200))</f>
        <v>C135</v>
      </c>
      <c r="D556" t="str" cm="1">
        <f t="array" aca="1" ref="D556" ca="1">INDEX(Products[Product ID],RANDBETWEEN(1,50))</f>
        <v>P050</v>
      </c>
      <c r="E556" t="str" cm="1">
        <f t="array" aca="1" ref="E556" ca="1">INDEX(Warehouses[Warehouse ID],RANDBETWEEN(1,8))</f>
        <v>W003</v>
      </c>
      <c r="F556">
        <f t="shared" ca="1" si="24"/>
        <v>5</v>
      </c>
      <c r="G556">
        <f ca="1">_xlfn.XLOOKUP(Orders[[#This Row],[Product ID]],Products[Product ID],Products[Selling Price])</f>
        <v>12000</v>
      </c>
      <c r="H556" s="6">
        <f t="shared" ca="1" si="25"/>
        <v>0.06</v>
      </c>
      <c r="I556">
        <f ca="1">Orders[[#This Row],[Quantity]]*Orders[[#This Row],[Unit Price]]*(1-Orders[[#This Row],[Discount%]])</f>
        <v>56400</v>
      </c>
      <c r="J556" t="str" cm="1">
        <f t="array" aca="1" ref="J556" ca="1">INDEX(PaymentMethods[Payment Method],RANDBETWEEN(1,5))</f>
        <v>UPI</v>
      </c>
    </row>
    <row r="557" spans="1:10" x14ac:dyDescent="0.3">
      <c r="A557" t="str">
        <f t="shared" si="26"/>
        <v>O0556</v>
      </c>
      <c r="B557" s="6">
        <f ca="1">Orders[[#This Row],[Discount%]]</f>
        <v>0.18</v>
      </c>
      <c r="C557" t="str" cm="1">
        <f t="array" aca="1" ref="C557" ca="1">INDEX(Customers[Customer ID],RANDBETWEEN(1,200))</f>
        <v>C171</v>
      </c>
      <c r="D557" t="str" cm="1">
        <f t="array" aca="1" ref="D557" ca="1">INDEX(Products[Product ID],RANDBETWEEN(1,50))</f>
        <v>P034</v>
      </c>
      <c r="E557" t="str" cm="1">
        <f t="array" aca="1" ref="E557" ca="1">INDEX(Warehouses[Warehouse ID],RANDBETWEEN(1,8))</f>
        <v>W001</v>
      </c>
      <c r="F557">
        <f t="shared" ca="1" si="24"/>
        <v>4</v>
      </c>
      <c r="G557">
        <f ca="1">_xlfn.XLOOKUP(Orders[[#This Row],[Product ID]],Products[Product ID],Products[Selling Price])</f>
        <v>120</v>
      </c>
      <c r="H557" s="6">
        <f t="shared" ca="1" si="25"/>
        <v>0.18</v>
      </c>
      <c r="I557">
        <f ca="1">Orders[[#This Row],[Quantity]]*Orders[[#This Row],[Unit Price]]*(1-Orders[[#This Row],[Discount%]])</f>
        <v>393.6</v>
      </c>
      <c r="J557" t="str" cm="1">
        <f t="array" aca="1" ref="J557" ca="1">INDEX(PaymentMethods[Payment Method],RANDBETWEEN(1,5))</f>
        <v>Net Banking</v>
      </c>
    </row>
    <row r="558" spans="1:10" x14ac:dyDescent="0.3">
      <c r="A558" t="str">
        <f t="shared" si="26"/>
        <v>O0557</v>
      </c>
      <c r="B558" s="6">
        <f ca="1">Orders[[#This Row],[Discount%]]</f>
        <v>0.19</v>
      </c>
      <c r="C558" t="str" cm="1">
        <f t="array" aca="1" ref="C558" ca="1">INDEX(Customers[Customer ID],RANDBETWEEN(1,200))</f>
        <v>C138</v>
      </c>
      <c r="D558" t="str" cm="1">
        <f t="array" aca="1" ref="D558" ca="1">INDEX(Products[Product ID],RANDBETWEEN(1,50))</f>
        <v>P022</v>
      </c>
      <c r="E558" t="str" cm="1">
        <f t="array" aca="1" ref="E558" ca="1">INDEX(Warehouses[Warehouse ID],RANDBETWEEN(1,8))</f>
        <v>W001</v>
      </c>
      <c r="F558">
        <f t="shared" ca="1" si="24"/>
        <v>10</v>
      </c>
      <c r="G558">
        <f ca="1">_xlfn.XLOOKUP(Orders[[#This Row],[Product ID]],Products[Product ID],Products[Selling Price])</f>
        <v>5000</v>
      </c>
      <c r="H558" s="6">
        <f t="shared" ca="1" si="25"/>
        <v>0.19</v>
      </c>
      <c r="I558">
        <f ca="1">Orders[[#This Row],[Quantity]]*Orders[[#This Row],[Unit Price]]*(1-Orders[[#This Row],[Discount%]])</f>
        <v>40500</v>
      </c>
      <c r="J558" t="str" cm="1">
        <f t="array" aca="1" ref="J558" ca="1">INDEX(PaymentMethods[Payment Method],RANDBETWEEN(1,5))</f>
        <v>Cash</v>
      </c>
    </row>
    <row r="559" spans="1:10" x14ac:dyDescent="0.3">
      <c r="A559" t="str">
        <f t="shared" si="26"/>
        <v>O0558</v>
      </c>
      <c r="B559" s="6">
        <f ca="1">Orders[[#This Row],[Discount%]]</f>
        <v>0.18</v>
      </c>
      <c r="C559" t="str" cm="1">
        <f t="array" aca="1" ref="C559" ca="1">INDEX(Customers[Customer ID],RANDBETWEEN(1,200))</f>
        <v>C200</v>
      </c>
      <c r="D559" t="str" cm="1">
        <f t="array" aca="1" ref="D559" ca="1">INDEX(Products[Product ID],RANDBETWEEN(1,50))</f>
        <v>P008</v>
      </c>
      <c r="E559" t="str" cm="1">
        <f t="array" aca="1" ref="E559" ca="1">INDEX(Warehouses[Warehouse ID],RANDBETWEEN(1,8))</f>
        <v>W004</v>
      </c>
      <c r="F559">
        <f t="shared" ca="1" si="24"/>
        <v>7</v>
      </c>
      <c r="G559">
        <f ca="1">_xlfn.XLOOKUP(Orders[[#This Row],[Product ID]],Products[Product ID],Products[Selling Price])</f>
        <v>4200</v>
      </c>
      <c r="H559" s="6">
        <f t="shared" ca="1" si="25"/>
        <v>0.18</v>
      </c>
      <c r="I559">
        <f ca="1">Orders[[#This Row],[Quantity]]*Orders[[#This Row],[Unit Price]]*(1-Orders[[#This Row],[Discount%]])</f>
        <v>24108.000000000004</v>
      </c>
      <c r="J559" t="str" cm="1">
        <f t="array" aca="1" ref="J559" ca="1">INDEX(PaymentMethods[Payment Method],RANDBETWEEN(1,5))</f>
        <v>Debit Card</v>
      </c>
    </row>
    <row r="560" spans="1:10" x14ac:dyDescent="0.3">
      <c r="A560" t="str">
        <f t="shared" si="26"/>
        <v>O0559</v>
      </c>
      <c r="B560" s="6">
        <f ca="1">Orders[[#This Row],[Discount%]]</f>
        <v>0.06</v>
      </c>
      <c r="C560" t="str" cm="1">
        <f t="array" aca="1" ref="C560" ca="1">INDEX(Customers[Customer ID],RANDBETWEEN(1,200))</f>
        <v>C012</v>
      </c>
      <c r="D560" t="str" cm="1">
        <f t="array" aca="1" ref="D560" ca="1">INDEX(Products[Product ID],RANDBETWEEN(1,50))</f>
        <v>P037</v>
      </c>
      <c r="E560" t="str" cm="1">
        <f t="array" aca="1" ref="E560" ca="1">INDEX(Warehouses[Warehouse ID],RANDBETWEEN(1,8))</f>
        <v>W007</v>
      </c>
      <c r="F560">
        <f t="shared" ca="1" si="24"/>
        <v>2</v>
      </c>
      <c r="G560">
        <f ca="1">_xlfn.XLOOKUP(Orders[[#This Row],[Product ID]],Products[Product ID],Products[Selling Price])</f>
        <v>550</v>
      </c>
      <c r="H560" s="6">
        <f t="shared" ca="1" si="25"/>
        <v>0.06</v>
      </c>
      <c r="I560">
        <f ca="1">Orders[[#This Row],[Quantity]]*Orders[[#This Row],[Unit Price]]*(1-Orders[[#This Row],[Discount%]])</f>
        <v>1034</v>
      </c>
      <c r="J560" t="str" cm="1">
        <f t="array" aca="1" ref="J560" ca="1">INDEX(PaymentMethods[Payment Method],RANDBETWEEN(1,5))</f>
        <v>Net Banking</v>
      </c>
    </row>
    <row r="561" spans="1:10" x14ac:dyDescent="0.3">
      <c r="A561" t="str">
        <f t="shared" si="26"/>
        <v>O0560</v>
      </c>
      <c r="B561" s="6">
        <f ca="1">Orders[[#This Row],[Discount%]]</f>
        <v>0.19</v>
      </c>
      <c r="C561" t="str" cm="1">
        <f t="array" aca="1" ref="C561" ca="1">INDEX(Customers[Customer ID],RANDBETWEEN(1,200))</f>
        <v>C196</v>
      </c>
      <c r="D561" t="str" cm="1">
        <f t="array" aca="1" ref="D561" ca="1">INDEX(Products[Product ID],RANDBETWEEN(1,50))</f>
        <v>P046</v>
      </c>
      <c r="E561" t="str" cm="1">
        <f t="array" aca="1" ref="E561" ca="1">INDEX(Warehouses[Warehouse ID],RANDBETWEEN(1,8))</f>
        <v>W004</v>
      </c>
      <c r="F561">
        <f t="shared" ca="1" si="24"/>
        <v>1</v>
      </c>
      <c r="G561">
        <f ca="1">_xlfn.XLOOKUP(Orders[[#This Row],[Product ID]],Products[Product ID],Products[Selling Price])</f>
        <v>2500</v>
      </c>
      <c r="H561" s="6">
        <f t="shared" ca="1" si="25"/>
        <v>0.19</v>
      </c>
      <c r="I561">
        <f ca="1">Orders[[#This Row],[Quantity]]*Orders[[#This Row],[Unit Price]]*(1-Orders[[#This Row],[Discount%]])</f>
        <v>2025.0000000000002</v>
      </c>
      <c r="J561" t="str" cm="1">
        <f t="array" aca="1" ref="J561" ca="1">INDEX(PaymentMethods[Payment Method],RANDBETWEEN(1,5))</f>
        <v>Debit Card</v>
      </c>
    </row>
    <row r="562" spans="1:10" x14ac:dyDescent="0.3">
      <c r="A562" t="str">
        <f t="shared" si="26"/>
        <v>O0561</v>
      </c>
      <c r="B562" s="6">
        <f ca="1">Orders[[#This Row],[Discount%]]</f>
        <v>0.14000000000000001</v>
      </c>
      <c r="C562" t="str" cm="1">
        <f t="array" aca="1" ref="C562" ca="1">INDEX(Customers[Customer ID],RANDBETWEEN(1,200))</f>
        <v>C141</v>
      </c>
      <c r="D562" t="str" cm="1">
        <f t="array" aca="1" ref="D562" ca="1">INDEX(Products[Product ID],RANDBETWEEN(1,50))</f>
        <v>P022</v>
      </c>
      <c r="E562" t="str" cm="1">
        <f t="array" aca="1" ref="E562" ca="1">INDEX(Warehouses[Warehouse ID],RANDBETWEEN(1,8))</f>
        <v>W005</v>
      </c>
      <c r="F562">
        <f t="shared" ca="1" si="24"/>
        <v>8</v>
      </c>
      <c r="G562">
        <f ca="1">_xlfn.XLOOKUP(Orders[[#This Row],[Product ID]],Products[Product ID],Products[Selling Price])</f>
        <v>5000</v>
      </c>
      <c r="H562" s="6">
        <f t="shared" ca="1" si="25"/>
        <v>0.14000000000000001</v>
      </c>
      <c r="I562">
        <f ca="1">Orders[[#This Row],[Quantity]]*Orders[[#This Row],[Unit Price]]*(1-Orders[[#This Row],[Discount%]])</f>
        <v>34400</v>
      </c>
      <c r="J562" t="str" cm="1">
        <f t="array" aca="1" ref="J562" ca="1">INDEX(PaymentMethods[Payment Method],RANDBETWEEN(1,5))</f>
        <v>Cash</v>
      </c>
    </row>
    <row r="563" spans="1:10" x14ac:dyDescent="0.3">
      <c r="A563" t="str">
        <f t="shared" si="26"/>
        <v>O0562</v>
      </c>
      <c r="B563" s="6">
        <f ca="1">Orders[[#This Row],[Discount%]]</f>
        <v>0.12</v>
      </c>
      <c r="C563" t="str" cm="1">
        <f t="array" aca="1" ref="C563" ca="1">INDEX(Customers[Customer ID],RANDBETWEEN(1,200))</f>
        <v>C026</v>
      </c>
      <c r="D563" t="str" cm="1">
        <f t="array" aca="1" ref="D563" ca="1">INDEX(Products[Product ID],RANDBETWEEN(1,50))</f>
        <v>P010</v>
      </c>
      <c r="E563" t="str" cm="1">
        <f t="array" aca="1" ref="E563" ca="1">INDEX(Warehouses[Warehouse ID],RANDBETWEEN(1,8))</f>
        <v>W005</v>
      </c>
      <c r="F563">
        <f t="shared" ca="1" si="24"/>
        <v>2</v>
      </c>
      <c r="G563">
        <f ca="1">_xlfn.XLOOKUP(Orders[[#This Row],[Product ID]],Products[Product ID],Products[Selling Price])</f>
        <v>250</v>
      </c>
      <c r="H563" s="6">
        <f t="shared" ca="1" si="25"/>
        <v>0.12</v>
      </c>
      <c r="I563">
        <f ca="1">Orders[[#This Row],[Quantity]]*Orders[[#This Row],[Unit Price]]*(1-Orders[[#This Row],[Discount%]])</f>
        <v>440</v>
      </c>
      <c r="J563" t="str" cm="1">
        <f t="array" aca="1" ref="J563" ca="1">INDEX(PaymentMethods[Payment Method],RANDBETWEEN(1,5))</f>
        <v>Cash</v>
      </c>
    </row>
    <row r="564" spans="1:10" x14ac:dyDescent="0.3">
      <c r="A564" t="str">
        <f t="shared" si="26"/>
        <v>O0563</v>
      </c>
      <c r="B564" s="6">
        <f ca="1">Orders[[#This Row],[Discount%]]</f>
        <v>7.0000000000000007E-2</v>
      </c>
      <c r="C564" t="str" cm="1">
        <f t="array" aca="1" ref="C564" ca="1">INDEX(Customers[Customer ID],RANDBETWEEN(1,200))</f>
        <v>C112</v>
      </c>
      <c r="D564" t="str" cm="1">
        <f t="array" aca="1" ref="D564" ca="1">INDEX(Products[Product ID],RANDBETWEEN(1,50))</f>
        <v>P034</v>
      </c>
      <c r="E564" t="str" cm="1">
        <f t="array" aca="1" ref="E564" ca="1">INDEX(Warehouses[Warehouse ID],RANDBETWEEN(1,8))</f>
        <v>W005</v>
      </c>
      <c r="F564">
        <f t="shared" ca="1" si="24"/>
        <v>5</v>
      </c>
      <c r="G564">
        <f ca="1">_xlfn.XLOOKUP(Orders[[#This Row],[Product ID]],Products[Product ID],Products[Selling Price])</f>
        <v>120</v>
      </c>
      <c r="H564" s="6">
        <f t="shared" ca="1" si="25"/>
        <v>7.0000000000000007E-2</v>
      </c>
      <c r="I564">
        <f ca="1">Orders[[#This Row],[Quantity]]*Orders[[#This Row],[Unit Price]]*(1-Orders[[#This Row],[Discount%]])</f>
        <v>558</v>
      </c>
      <c r="J564" t="str" cm="1">
        <f t="array" aca="1" ref="J564" ca="1">INDEX(PaymentMethods[Payment Method],RANDBETWEEN(1,5))</f>
        <v>Credit Card</v>
      </c>
    </row>
    <row r="565" spans="1:10" x14ac:dyDescent="0.3">
      <c r="A565" t="str">
        <f t="shared" si="26"/>
        <v>O0564</v>
      </c>
      <c r="B565" s="6">
        <f ca="1">Orders[[#This Row],[Discount%]]</f>
        <v>0.02</v>
      </c>
      <c r="C565" t="str" cm="1">
        <f t="array" aca="1" ref="C565" ca="1">INDEX(Customers[Customer ID],RANDBETWEEN(1,200))</f>
        <v>C156</v>
      </c>
      <c r="D565" t="str" cm="1">
        <f t="array" aca="1" ref="D565" ca="1">INDEX(Products[Product ID],RANDBETWEEN(1,50))</f>
        <v>P004</v>
      </c>
      <c r="E565" t="str" cm="1">
        <f t="array" aca="1" ref="E565" ca="1">INDEX(Warehouses[Warehouse ID],RANDBETWEEN(1,8))</f>
        <v>W008</v>
      </c>
      <c r="F565">
        <f t="shared" ca="1" si="24"/>
        <v>2</v>
      </c>
      <c r="G565">
        <f ca="1">_xlfn.XLOOKUP(Orders[[#This Row],[Product ID]],Products[Product ID],Products[Selling Price])</f>
        <v>9000</v>
      </c>
      <c r="H565" s="6">
        <f t="shared" ca="1" si="25"/>
        <v>0.02</v>
      </c>
      <c r="I565">
        <f ca="1">Orders[[#This Row],[Quantity]]*Orders[[#This Row],[Unit Price]]*(1-Orders[[#This Row],[Discount%]])</f>
        <v>17640</v>
      </c>
      <c r="J565" t="str" cm="1">
        <f t="array" aca="1" ref="J565" ca="1">INDEX(PaymentMethods[Payment Method],RANDBETWEEN(1,5))</f>
        <v>Debit Card</v>
      </c>
    </row>
    <row r="566" spans="1:10" x14ac:dyDescent="0.3">
      <c r="A566" t="str">
        <f t="shared" si="26"/>
        <v>O0565</v>
      </c>
      <c r="B566" s="6">
        <f ca="1">Orders[[#This Row],[Discount%]]</f>
        <v>0.17</v>
      </c>
      <c r="C566" t="str" cm="1">
        <f t="array" aca="1" ref="C566" ca="1">INDEX(Customers[Customer ID],RANDBETWEEN(1,200))</f>
        <v>C165</v>
      </c>
      <c r="D566" t="str" cm="1">
        <f t="array" aca="1" ref="D566" ca="1">INDEX(Products[Product ID],RANDBETWEEN(1,50))</f>
        <v>P014</v>
      </c>
      <c r="E566" t="str" cm="1">
        <f t="array" aca="1" ref="E566" ca="1">INDEX(Warehouses[Warehouse ID],RANDBETWEEN(1,8))</f>
        <v>W005</v>
      </c>
      <c r="F566">
        <f t="shared" ca="1" si="24"/>
        <v>4</v>
      </c>
      <c r="G566">
        <f ca="1">_xlfn.XLOOKUP(Orders[[#This Row],[Product ID]],Products[Product ID],Products[Selling Price])</f>
        <v>800</v>
      </c>
      <c r="H566" s="6">
        <f t="shared" ca="1" si="25"/>
        <v>0.17</v>
      </c>
      <c r="I566">
        <f ca="1">Orders[[#This Row],[Quantity]]*Orders[[#This Row],[Unit Price]]*(1-Orders[[#This Row],[Discount%]])</f>
        <v>2656</v>
      </c>
      <c r="J566" t="str" cm="1">
        <f t="array" aca="1" ref="J566" ca="1">INDEX(PaymentMethods[Payment Method],RANDBETWEEN(1,5))</f>
        <v>Cash</v>
      </c>
    </row>
    <row r="567" spans="1:10" x14ac:dyDescent="0.3">
      <c r="A567" t="str">
        <f t="shared" si="26"/>
        <v>O0566</v>
      </c>
      <c r="B567" s="6">
        <f ca="1">Orders[[#This Row],[Discount%]]</f>
        <v>0.1</v>
      </c>
      <c r="C567" t="str" cm="1">
        <f t="array" aca="1" ref="C567" ca="1">INDEX(Customers[Customer ID],RANDBETWEEN(1,200))</f>
        <v>C075</v>
      </c>
      <c r="D567" t="str" cm="1">
        <f t="array" aca="1" ref="D567" ca="1">INDEX(Products[Product ID],RANDBETWEEN(1,50))</f>
        <v>P043</v>
      </c>
      <c r="E567" t="str" cm="1">
        <f t="array" aca="1" ref="E567" ca="1">INDEX(Warehouses[Warehouse ID],RANDBETWEEN(1,8))</f>
        <v>W001</v>
      </c>
      <c r="F567">
        <f t="shared" ca="1" si="24"/>
        <v>7</v>
      </c>
      <c r="G567">
        <f ca="1">_xlfn.XLOOKUP(Orders[[#This Row],[Product ID]],Products[Product ID],Products[Selling Price])</f>
        <v>24500</v>
      </c>
      <c r="H567" s="6">
        <f t="shared" ca="1" si="25"/>
        <v>0.1</v>
      </c>
      <c r="I567">
        <f ca="1">Orders[[#This Row],[Quantity]]*Orders[[#This Row],[Unit Price]]*(1-Orders[[#This Row],[Discount%]])</f>
        <v>154350</v>
      </c>
      <c r="J567" t="str" cm="1">
        <f t="array" aca="1" ref="J567" ca="1">INDEX(PaymentMethods[Payment Method],RANDBETWEEN(1,5))</f>
        <v>UPI</v>
      </c>
    </row>
    <row r="568" spans="1:10" x14ac:dyDescent="0.3">
      <c r="A568" t="str">
        <f t="shared" si="26"/>
        <v>O0567</v>
      </c>
      <c r="B568" s="6">
        <f ca="1">Orders[[#This Row],[Discount%]]</f>
        <v>0.06</v>
      </c>
      <c r="C568" t="str" cm="1">
        <f t="array" aca="1" ref="C568" ca="1">INDEX(Customers[Customer ID],RANDBETWEEN(1,200))</f>
        <v>C017</v>
      </c>
      <c r="D568" t="str" cm="1">
        <f t="array" aca="1" ref="D568" ca="1">INDEX(Products[Product ID],RANDBETWEEN(1,50))</f>
        <v>P028</v>
      </c>
      <c r="E568" t="str" cm="1">
        <f t="array" aca="1" ref="E568" ca="1">INDEX(Warehouses[Warehouse ID],RANDBETWEEN(1,8))</f>
        <v>W002</v>
      </c>
      <c r="F568">
        <f t="shared" ca="1" si="24"/>
        <v>7</v>
      </c>
      <c r="G568">
        <f ca="1">_xlfn.XLOOKUP(Orders[[#This Row],[Product ID]],Products[Product ID],Products[Selling Price])</f>
        <v>16500</v>
      </c>
      <c r="H568" s="6">
        <f t="shared" ca="1" si="25"/>
        <v>0.06</v>
      </c>
      <c r="I568">
        <f ca="1">Orders[[#This Row],[Quantity]]*Orders[[#This Row],[Unit Price]]*(1-Orders[[#This Row],[Discount%]])</f>
        <v>108570</v>
      </c>
      <c r="J568" t="str" cm="1">
        <f t="array" aca="1" ref="J568" ca="1">INDEX(PaymentMethods[Payment Method],RANDBETWEEN(1,5))</f>
        <v>Credit Card</v>
      </c>
    </row>
    <row r="569" spans="1:10" x14ac:dyDescent="0.3">
      <c r="A569" t="str">
        <f t="shared" si="26"/>
        <v>O0568</v>
      </c>
      <c r="B569" s="6">
        <f ca="1">Orders[[#This Row],[Discount%]]</f>
        <v>0.03</v>
      </c>
      <c r="C569" t="str" cm="1">
        <f t="array" aca="1" ref="C569" ca="1">INDEX(Customers[Customer ID],RANDBETWEEN(1,200))</f>
        <v>C098</v>
      </c>
      <c r="D569" t="str" cm="1">
        <f t="array" aca="1" ref="D569" ca="1">INDEX(Products[Product ID],RANDBETWEEN(1,50))</f>
        <v>P014</v>
      </c>
      <c r="E569" t="str" cm="1">
        <f t="array" aca="1" ref="E569" ca="1">INDEX(Warehouses[Warehouse ID],RANDBETWEEN(1,8))</f>
        <v>W001</v>
      </c>
      <c r="F569">
        <f t="shared" ca="1" si="24"/>
        <v>7</v>
      </c>
      <c r="G569">
        <f ca="1">_xlfn.XLOOKUP(Orders[[#This Row],[Product ID]],Products[Product ID],Products[Selling Price])</f>
        <v>800</v>
      </c>
      <c r="H569" s="6">
        <f t="shared" ca="1" si="25"/>
        <v>0.03</v>
      </c>
      <c r="I569">
        <f ca="1">Orders[[#This Row],[Quantity]]*Orders[[#This Row],[Unit Price]]*(1-Orders[[#This Row],[Discount%]])</f>
        <v>5432</v>
      </c>
      <c r="J569" t="str" cm="1">
        <f t="array" aca="1" ref="J569" ca="1">INDEX(PaymentMethods[Payment Method],RANDBETWEEN(1,5))</f>
        <v>Cash</v>
      </c>
    </row>
    <row r="570" spans="1:10" x14ac:dyDescent="0.3">
      <c r="A570" t="str">
        <f t="shared" si="26"/>
        <v>O0569</v>
      </c>
      <c r="B570" s="6">
        <f ca="1">Orders[[#This Row],[Discount%]]</f>
        <v>0.13</v>
      </c>
      <c r="C570" t="str" cm="1">
        <f t="array" aca="1" ref="C570" ca="1">INDEX(Customers[Customer ID],RANDBETWEEN(1,200))</f>
        <v>C074</v>
      </c>
      <c r="D570" t="str" cm="1">
        <f t="array" aca="1" ref="D570" ca="1">INDEX(Products[Product ID],RANDBETWEEN(1,50))</f>
        <v>P036</v>
      </c>
      <c r="E570" t="str" cm="1">
        <f t="array" aca="1" ref="E570" ca="1">INDEX(Warehouses[Warehouse ID],RANDBETWEEN(1,8))</f>
        <v>W005</v>
      </c>
      <c r="F570">
        <f t="shared" ca="1" si="24"/>
        <v>10</v>
      </c>
      <c r="G570">
        <f ca="1">_xlfn.XLOOKUP(Orders[[#This Row],[Product ID]],Products[Product ID],Products[Selling Price])</f>
        <v>450</v>
      </c>
      <c r="H570" s="6">
        <f t="shared" ca="1" si="25"/>
        <v>0.13</v>
      </c>
      <c r="I570">
        <f ca="1">Orders[[#This Row],[Quantity]]*Orders[[#This Row],[Unit Price]]*(1-Orders[[#This Row],[Discount%]])</f>
        <v>3915</v>
      </c>
      <c r="J570" t="str" cm="1">
        <f t="array" aca="1" ref="J570" ca="1">INDEX(PaymentMethods[Payment Method],RANDBETWEEN(1,5))</f>
        <v>UPI</v>
      </c>
    </row>
    <row r="571" spans="1:10" x14ac:dyDescent="0.3">
      <c r="A571" t="str">
        <f t="shared" si="26"/>
        <v>O0570</v>
      </c>
      <c r="B571" s="6">
        <f ca="1">Orders[[#This Row],[Discount%]]</f>
        <v>0.09</v>
      </c>
      <c r="C571" t="str" cm="1">
        <f t="array" aca="1" ref="C571" ca="1">INDEX(Customers[Customer ID],RANDBETWEEN(1,200))</f>
        <v>C077</v>
      </c>
      <c r="D571" t="str" cm="1">
        <f t="array" aca="1" ref="D571" ca="1">INDEX(Products[Product ID],RANDBETWEEN(1,50))</f>
        <v>P040</v>
      </c>
      <c r="E571" t="str" cm="1">
        <f t="array" aca="1" ref="E571" ca="1">INDEX(Warehouses[Warehouse ID],RANDBETWEEN(1,8))</f>
        <v>W005</v>
      </c>
      <c r="F571">
        <f t="shared" ca="1" si="24"/>
        <v>2</v>
      </c>
      <c r="G571">
        <f ca="1">_xlfn.XLOOKUP(Orders[[#This Row],[Product ID]],Products[Product ID],Products[Selling Price])</f>
        <v>180</v>
      </c>
      <c r="H571" s="6">
        <f t="shared" ca="1" si="25"/>
        <v>0.09</v>
      </c>
      <c r="I571">
        <f ca="1">Orders[[#This Row],[Quantity]]*Orders[[#This Row],[Unit Price]]*(1-Orders[[#This Row],[Discount%]])</f>
        <v>327.60000000000002</v>
      </c>
      <c r="J571" t="str" cm="1">
        <f t="array" aca="1" ref="J571" ca="1">INDEX(PaymentMethods[Payment Method],RANDBETWEEN(1,5))</f>
        <v>UPI</v>
      </c>
    </row>
    <row r="572" spans="1:10" x14ac:dyDescent="0.3">
      <c r="A572" t="str">
        <f t="shared" si="26"/>
        <v>O0571</v>
      </c>
      <c r="B572" s="6">
        <f ca="1">Orders[[#This Row],[Discount%]]</f>
        <v>0</v>
      </c>
      <c r="C572" t="str" cm="1">
        <f t="array" aca="1" ref="C572" ca="1">INDEX(Customers[Customer ID],RANDBETWEEN(1,200))</f>
        <v>C199</v>
      </c>
      <c r="D572" t="str" cm="1">
        <f t="array" aca="1" ref="D572" ca="1">INDEX(Products[Product ID],RANDBETWEEN(1,50))</f>
        <v>P006</v>
      </c>
      <c r="E572" t="str" cm="1">
        <f t="array" aca="1" ref="E572" ca="1">INDEX(Warehouses[Warehouse ID],RANDBETWEEN(1,8))</f>
        <v>W006</v>
      </c>
      <c r="F572">
        <f t="shared" ca="1" si="24"/>
        <v>5</v>
      </c>
      <c r="G572">
        <f ca="1">_xlfn.XLOOKUP(Orders[[#This Row],[Product ID]],Products[Product ID],Products[Selling Price])</f>
        <v>3500</v>
      </c>
      <c r="H572" s="6">
        <f t="shared" ca="1" si="25"/>
        <v>0</v>
      </c>
      <c r="I572">
        <f ca="1">Orders[[#This Row],[Quantity]]*Orders[[#This Row],[Unit Price]]*(1-Orders[[#This Row],[Discount%]])</f>
        <v>17500</v>
      </c>
      <c r="J572" t="str" cm="1">
        <f t="array" aca="1" ref="J572" ca="1">INDEX(PaymentMethods[Payment Method],RANDBETWEEN(1,5))</f>
        <v>Debit Card</v>
      </c>
    </row>
    <row r="573" spans="1:10" x14ac:dyDescent="0.3">
      <c r="A573" t="str">
        <f t="shared" si="26"/>
        <v>O0572</v>
      </c>
      <c r="B573" s="6">
        <f ca="1">Orders[[#This Row],[Discount%]]</f>
        <v>0.04</v>
      </c>
      <c r="C573" t="str" cm="1">
        <f t="array" aca="1" ref="C573" ca="1">INDEX(Customers[Customer ID],RANDBETWEEN(1,200))</f>
        <v>C180</v>
      </c>
      <c r="D573" t="str" cm="1">
        <f t="array" aca="1" ref="D573" ca="1">INDEX(Products[Product ID],RANDBETWEEN(1,50))</f>
        <v>P019</v>
      </c>
      <c r="E573" t="str" cm="1">
        <f t="array" aca="1" ref="E573" ca="1">INDEX(Warehouses[Warehouse ID],RANDBETWEEN(1,8))</f>
        <v>W002</v>
      </c>
      <c r="F573">
        <f t="shared" ca="1" si="24"/>
        <v>9</v>
      </c>
      <c r="G573">
        <f ca="1">_xlfn.XLOOKUP(Orders[[#This Row],[Product ID]],Products[Product ID],Products[Selling Price])</f>
        <v>950</v>
      </c>
      <c r="H573" s="6">
        <f t="shared" ca="1" si="25"/>
        <v>0.04</v>
      </c>
      <c r="I573">
        <f ca="1">Orders[[#This Row],[Quantity]]*Orders[[#This Row],[Unit Price]]*(1-Orders[[#This Row],[Discount%]])</f>
        <v>8208</v>
      </c>
      <c r="J573" t="str" cm="1">
        <f t="array" aca="1" ref="J573" ca="1">INDEX(PaymentMethods[Payment Method],RANDBETWEEN(1,5))</f>
        <v>Debit Card</v>
      </c>
    </row>
    <row r="574" spans="1:10" x14ac:dyDescent="0.3">
      <c r="A574" t="str">
        <f t="shared" si="26"/>
        <v>O0573</v>
      </c>
      <c r="B574" s="6">
        <f ca="1">Orders[[#This Row],[Discount%]]</f>
        <v>0.03</v>
      </c>
      <c r="C574" t="str" cm="1">
        <f t="array" aca="1" ref="C574" ca="1">INDEX(Customers[Customer ID],RANDBETWEEN(1,200))</f>
        <v>C178</v>
      </c>
      <c r="D574" t="str" cm="1">
        <f t="array" aca="1" ref="D574" ca="1">INDEX(Products[Product ID],RANDBETWEEN(1,50))</f>
        <v>P014</v>
      </c>
      <c r="E574" t="str" cm="1">
        <f t="array" aca="1" ref="E574" ca="1">INDEX(Warehouses[Warehouse ID],RANDBETWEEN(1,8))</f>
        <v>W001</v>
      </c>
      <c r="F574">
        <f t="shared" ca="1" si="24"/>
        <v>8</v>
      </c>
      <c r="G574">
        <f ca="1">_xlfn.XLOOKUP(Orders[[#This Row],[Product ID]],Products[Product ID],Products[Selling Price])</f>
        <v>800</v>
      </c>
      <c r="H574" s="6">
        <f t="shared" ca="1" si="25"/>
        <v>0.03</v>
      </c>
      <c r="I574">
        <f ca="1">Orders[[#This Row],[Quantity]]*Orders[[#This Row],[Unit Price]]*(1-Orders[[#This Row],[Discount%]])</f>
        <v>6208</v>
      </c>
      <c r="J574" t="str" cm="1">
        <f t="array" aca="1" ref="J574" ca="1">INDEX(PaymentMethods[Payment Method],RANDBETWEEN(1,5))</f>
        <v>Credit Card</v>
      </c>
    </row>
    <row r="575" spans="1:10" x14ac:dyDescent="0.3">
      <c r="A575" t="str">
        <f t="shared" si="26"/>
        <v>O0574</v>
      </c>
      <c r="B575" s="6">
        <f ca="1">Orders[[#This Row],[Discount%]]</f>
        <v>0.18</v>
      </c>
      <c r="C575" t="str" cm="1">
        <f t="array" aca="1" ref="C575" ca="1">INDEX(Customers[Customer ID],RANDBETWEEN(1,200))</f>
        <v>C185</v>
      </c>
      <c r="D575" t="str" cm="1">
        <f t="array" aca="1" ref="D575" ca="1">INDEX(Products[Product ID],RANDBETWEEN(1,50))</f>
        <v>P026</v>
      </c>
      <c r="E575" t="str" cm="1">
        <f t="array" aca="1" ref="E575" ca="1">INDEX(Warehouses[Warehouse ID],RANDBETWEEN(1,8))</f>
        <v>W001</v>
      </c>
      <c r="F575">
        <f t="shared" ca="1" si="24"/>
        <v>9</v>
      </c>
      <c r="G575">
        <f ca="1">_xlfn.XLOOKUP(Orders[[#This Row],[Product ID]],Products[Product ID],Products[Selling Price])</f>
        <v>650</v>
      </c>
      <c r="H575" s="6">
        <f t="shared" ca="1" si="25"/>
        <v>0.18</v>
      </c>
      <c r="I575">
        <f ca="1">Orders[[#This Row],[Quantity]]*Orders[[#This Row],[Unit Price]]*(1-Orders[[#This Row],[Discount%]])</f>
        <v>4797</v>
      </c>
      <c r="J575" t="str" cm="1">
        <f t="array" aca="1" ref="J575" ca="1">INDEX(PaymentMethods[Payment Method],RANDBETWEEN(1,5))</f>
        <v>Debit Card</v>
      </c>
    </row>
    <row r="576" spans="1:10" x14ac:dyDescent="0.3">
      <c r="A576" t="str">
        <f t="shared" si="26"/>
        <v>O0575</v>
      </c>
      <c r="B576" s="6">
        <f ca="1">Orders[[#This Row],[Discount%]]</f>
        <v>0.15</v>
      </c>
      <c r="C576" t="str" cm="1">
        <f t="array" aca="1" ref="C576" ca="1">INDEX(Customers[Customer ID],RANDBETWEEN(1,200))</f>
        <v>C083</v>
      </c>
      <c r="D576" t="str" cm="1">
        <f t="array" aca="1" ref="D576" ca="1">INDEX(Products[Product ID],RANDBETWEEN(1,50))</f>
        <v>P046</v>
      </c>
      <c r="E576" t="str" cm="1">
        <f t="array" aca="1" ref="E576" ca="1">INDEX(Warehouses[Warehouse ID],RANDBETWEEN(1,8))</f>
        <v>W002</v>
      </c>
      <c r="F576">
        <f t="shared" ca="1" si="24"/>
        <v>3</v>
      </c>
      <c r="G576">
        <f ca="1">_xlfn.XLOOKUP(Orders[[#This Row],[Product ID]],Products[Product ID],Products[Selling Price])</f>
        <v>2500</v>
      </c>
      <c r="H576" s="6">
        <f t="shared" ca="1" si="25"/>
        <v>0.15</v>
      </c>
      <c r="I576">
        <f ca="1">Orders[[#This Row],[Quantity]]*Orders[[#This Row],[Unit Price]]*(1-Orders[[#This Row],[Discount%]])</f>
        <v>6375</v>
      </c>
      <c r="J576" t="str" cm="1">
        <f t="array" aca="1" ref="J576" ca="1">INDEX(PaymentMethods[Payment Method],RANDBETWEEN(1,5))</f>
        <v>Net Banking</v>
      </c>
    </row>
    <row r="577" spans="1:10" x14ac:dyDescent="0.3">
      <c r="A577" t="str">
        <f t="shared" si="26"/>
        <v>O0576</v>
      </c>
      <c r="B577" s="6">
        <f ca="1">Orders[[#This Row],[Discount%]]</f>
        <v>0.05</v>
      </c>
      <c r="C577" t="str" cm="1">
        <f t="array" aca="1" ref="C577" ca="1">INDEX(Customers[Customer ID],RANDBETWEEN(1,200))</f>
        <v>C056</v>
      </c>
      <c r="D577" t="str" cm="1">
        <f t="array" aca="1" ref="D577" ca="1">INDEX(Products[Product ID],RANDBETWEEN(1,50))</f>
        <v>P029</v>
      </c>
      <c r="E577" t="str" cm="1">
        <f t="array" aca="1" ref="E577" ca="1">INDEX(Warehouses[Warehouse ID],RANDBETWEEN(1,8))</f>
        <v>W003</v>
      </c>
      <c r="F577">
        <f t="shared" ca="1" si="24"/>
        <v>6</v>
      </c>
      <c r="G577">
        <f ca="1">_xlfn.XLOOKUP(Orders[[#This Row],[Product ID]],Products[Product ID],Products[Selling Price])</f>
        <v>3200</v>
      </c>
      <c r="H577" s="6">
        <f t="shared" ca="1" si="25"/>
        <v>0.05</v>
      </c>
      <c r="I577">
        <f ca="1">Orders[[#This Row],[Quantity]]*Orders[[#This Row],[Unit Price]]*(1-Orders[[#This Row],[Discount%]])</f>
        <v>18240</v>
      </c>
      <c r="J577" t="str" cm="1">
        <f t="array" aca="1" ref="J577" ca="1">INDEX(PaymentMethods[Payment Method],RANDBETWEEN(1,5))</f>
        <v>Cash</v>
      </c>
    </row>
    <row r="578" spans="1:10" x14ac:dyDescent="0.3">
      <c r="A578" t="str">
        <f t="shared" si="26"/>
        <v>O0577</v>
      </c>
      <c r="B578" s="6">
        <f ca="1">Orders[[#This Row],[Discount%]]</f>
        <v>0.18</v>
      </c>
      <c r="C578" t="str" cm="1">
        <f t="array" aca="1" ref="C578" ca="1">INDEX(Customers[Customer ID],RANDBETWEEN(1,200))</f>
        <v>C198</v>
      </c>
      <c r="D578" t="str" cm="1">
        <f t="array" aca="1" ref="D578" ca="1">INDEX(Products[Product ID],RANDBETWEEN(1,50))</f>
        <v>P039</v>
      </c>
      <c r="E578" t="str" cm="1">
        <f t="array" aca="1" ref="E578" ca="1">INDEX(Warehouses[Warehouse ID],RANDBETWEEN(1,8))</f>
        <v>W006</v>
      </c>
      <c r="F578">
        <f t="shared" ref="F578:F641" ca="1" si="27">RANDBETWEEN(1,10)</f>
        <v>8</v>
      </c>
      <c r="G578">
        <f ca="1">_xlfn.XLOOKUP(Orders[[#This Row],[Product ID]],Products[Product ID],Products[Selling Price])</f>
        <v>250</v>
      </c>
      <c r="H578" s="6">
        <f t="shared" ref="H578:H641" ca="1" si="28">RANDBETWEEN(0,20)/100</f>
        <v>0.18</v>
      </c>
      <c r="I578">
        <f ca="1">Orders[[#This Row],[Quantity]]*Orders[[#This Row],[Unit Price]]*(1-Orders[[#This Row],[Discount%]])</f>
        <v>1640.0000000000002</v>
      </c>
      <c r="J578" t="str" cm="1">
        <f t="array" aca="1" ref="J578" ca="1">INDEX(PaymentMethods[Payment Method],RANDBETWEEN(1,5))</f>
        <v>Debit Card</v>
      </c>
    </row>
    <row r="579" spans="1:10" x14ac:dyDescent="0.3">
      <c r="A579" t="str">
        <f t="shared" ref="A579:A642" si="29">"O"&amp;TEXT(ROW()-1,"0000")</f>
        <v>O0578</v>
      </c>
      <c r="B579" s="6">
        <f ca="1">Orders[[#This Row],[Discount%]]</f>
        <v>0.12</v>
      </c>
      <c r="C579" t="str" cm="1">
        <f t="array" aca="1" ref="C579" ca="1">INDEX(Customers[Customer ID],RANDBETWEEN(1,200))</f>
        <v>C072</v>
      </c>
      <c r="D579" t="str" cm="1">
        <f t="array" aca="1" ref="D579" ca="1">INDEX(Products[Product ID],RANDBETWEEN(1,50))</f>
        <v>P044</v>
      </c>
      <c r="E579" t="str" cm="1">
        <f t="array" aca="1" ref="E579" ca="1">INDEX(Warehouses[Warehouse ID],RANDBETWEEN(1,8))</f>
        <v>W002</v>
      </c>
      <c r="F579">
        <f t="shared" ca="1" si="27"/>
        <v>4</v>
      </c>
      <c r="G579">
        <f ca="1">_xlfn.XLOOKUP(Orders[[#This Row],[Product ID]],Products[Product ID],Products[Selling Price])</f>
        <v>8500</v>
      </c>
      <c r="H579" s="6">
        <f t="shared" ca="1" si="28"/>
        <v>0.12</v>
      </c>
      <c r="I579">
        <f ca="1">Orders[[#This Row],[Quantity]]*Orders[[#This Row],[Unit Price]]*(1-Orders[[#This Row],[Discount%]])</f>
        <v>29920</v>
      </c>
      <c r="J579" t="str" cm="1">
        <f t="array" aca="1" ref="J579" ca="1">INDEX(PaymentMethods[Payment Method],RANDBETWEEN(1,5))</f>
        <v>UPI</v>
      </c>
    </row>
    <row r="580" spans="1:10" x14ac:dyDescent="0.3">
      <c r="A580" t="str">
        <f t="shared" si="29"/>
        <v>O0579</v>
      </c>
      <c r="B580" s="6">
        <f ca="1">Orders[[#This Row],[Discount%]]</f>
        <v>0.08</v>
      </c>
      <c r="C580" t="str" cm="1">
        <f t="array" aca="1" ref="C580" ca="1">INDEX(Customers[Customer ID],RANDBETWEEN(1,200))</f>
        <v>C112</v>
      </c>
      <c r="D580" t="str" cm="1">
        <f t="array" aca="1" ref="D580" ca="1">INDEX(Products[Product ID],RANDBETWEEN(1,50))</f>
        <v>P047</v>
      </c>
      <c r="E580" t="str" cm="1">
        <f t="array" aca="1" ref="E580" ca="1">INDEX(Warehouses[Warehouse ID],RANDBETWEEN(1,8))</f>
        <v>W003</v>
      </c>
      <c r="F580">
        <f t="shared" ca="1" si="27"/>
        <v>10</v>
      </c>
      <c r="G580">
        <f ca="1">_xlfn.XLOOKUP(Orders[[#This Row],[Product ID]],Products[Product ID],Products[Selling Price])</f>
        <v>6200</v>
      </c>
      <c r="H580" s="6">
        <f t="shared" ca="1" si="28"/>
        <v>0.08</v>
      </c>
      <c r="I580">
        <f ca="1">Orders[[#This Row],[Quantity]]*Orders[[#This Row],[Unit Price]]*(1-Orders[[#This Row],[Discount%]])</f>
        <v>57040</v>
      </c>
      <c r="J580" t="str" cm="1">
        <f t="array" aca="1" ref="J580" ca="1">INDEX(PaymentMethods[Payment Method],RANDBETWEEN(1,5))</f>
        <v>UPI</v>
      </c>
    </row>
    <row r="581" spans="1:10" x14ac:dyDescent="0.3">
      <c r="A581" t="str">
        <f t="shared" si="29"/>
        <v>O0580</v>
      </c>
      <c r="B581" s="6">
        <f ca="1">Orders[[#This Row],[Discount%]]</f>
        <v>0.03</v>
      </c>
      <c r="C581" t="str" cm="1">
        <f t="array" aca="1" ref="C581" ca="1">INDEX(Customers[Customer ID],RANDBETWEEN(1,200))</f>
        <v>C088</v>
      </c>
      <c r="D581" t="str" cm="1">
        <f t="array" aca="1" ref="D581" ca="1">INDEX(Products[Product ID],RANDBETWEEN(1,50))</f>
        <v>P021</v>
      </c>
      <c r="E581" t="str" cm="1">
        <f t="array" aca="1" ref="E581" ca="1">INDEX(Warehouses[Warehouse ID],RANDBETWEEN(1,8))</f>
        <v>W008</v>
      </c>
      <c r="F581">
        <f t="shared" ca="1" si="27"/>
        <v>10</v>
      </c>
      <c r="G581">
        <f ca="1">_xlfn.XLOOKUP(Orders[[#This Row],[Product ID]],Products[Product ID],Products[Selling Price])</f>
        <v>22000</v>
      </c>
      <c r="H581" s="6">
        <f t="shared" ca="1" si="28"/>
        <v>0.03</v>
      </c>
      <c r="I581">
        <f ca="1">Orders[[#This Row],[Quantity]]*Orders[[#This Row],[Unit Price]]*(1-Orders[[#This Row],[Discount%]])</f>
        <v>213400</v>
      </c>
      <c r="J581" t="str" cm="1">
        <f t="array" aca="1" ref="J581" ca="1">INDEX(PaymentMethods[Payment Method],RANDBETWEEN(1,5))</f>
        <v>Debit Card</v>
      </c>
    </row>
    <row r="582" spans="1:10" x14ac:dyDescent="0.3">
      <c r="A582" t="str">
        <f t="shared" si="29"/>
        <v>O0581</v>
      </c>
      <c r="B582" s="6">
        <f ca="1">Orders[[#This Row],[Discount%]]</f>
        <v>0.01</v>
      </c>
      <c r="C582" t="str" cm="1">
        <f t="array" aca="1" ref="C582" ca="1">INDEX(Customers[Customer ID],RANDBETWEEN(1,200))</f>
        <v>C027</v>
      </c>
      <c r="D582" t="str" cm="1">
        <f t="array" aca="1" ref="D582" ca="1">INDEX(Products[Product ID],RANDBETWEEN(1,50))</f>
        <v>P026</v>
      </c>
      <c r="E582" t="str" cm="1">
        <f t="array" aca="1" ref="E582" ca="1">INDEX(Warehouses[Warehouse ID],RANDBETWEEN(1,8))</f>
        <v>W004</v>
      </c>
      <c r="F582">
        <f t="shared" ca="1" si="27"/>
        <v>7</v>
      </c>
      <c r="G582">
        <f ca="1">_xlfn.XLOOKUP(Orders[[#This Row],[Product ID]],Products[Product ID],Products[Selling Price])</f>
        <v>650</v>
      </c>
      <c r="H582" s="6">
        <f t="shared" ca="1" si="28"/>
        <v>0.01</v>
      </c>
      <c r="I582">
        <f ca="1">Orders[[#This Row],[Quantity]]*Orders[[#This Row],[Unit Price]]*(1-Orders[[#This Row],[Discount%]])</f>
        <v>4504.5</v>
      </c>
      <c r="J582" t="str" cm="1">
        <f t="array" aca="1" ref="J582" ca="1">INDEX(PaymentMethods[Payment Method],RANDBETWEEN(1,5))</f>
        <v>Cash</v>
      </c>
    </row>
    <row r="583" spans="1:10" x14ac:dyDescent="0.3">
      <c r="A583" t="str">
        <f t="shared" si="29"/>
        <v>O0582</v>
      </c>
      <c r="B583" s="6">
        <f ca="1">Orders[[#This Row],[Discount%]]</f>
        <v>0.08</v>
      </c>
      <c r="C583" t="str" cm="1">
        <f t="array" aca="1" ref="C583" ca="1">INDEX(Customers[Customer ID],RANDBETWEEN(1,200))</f>
        <v>C102</v>
      </c>
      <c r="D583" t="str" cm="1">
        <f t="array" aca="1" ref="D583" ca="1">INDEX(Products[Product ID],RANDBETWEEN(1,50))</f>
        <v>P014</v>
      </c>
      <c r="E583" t="str" cm="1">
        <f t="array" aca="1" ref="E583" ca="1">INDEX(Warehouses[Warehouse ID],RANDBETWEEN(1,8))</f>
        <v>W003</v>
      </c>
      <c r="F583">
        <f t="shared" ca="1" si="27"/>
        <v>2</v>
      </c>
      <c r="G583">
        <f ca="1">_xlfn.XLOOKUP(Orders[[#This Row],[Product ID]],Products[Product ID],Products[Selling Price])</f>
        <v>800</v>
      </c>
      <c r="H583" s="6">
        <f t="shared" ca="1" si="28"/>
        <v>0.08</v>
      </c>
      <c r="I583">
        <f ca="1">Orders[[#This Row],[Quantity]]*Orders[[#This Row],[Unit Price]]*(1-Orders[[#This Row],[Discount%]])</f>
        <v>1472</v>
      </c>
      <c r="J583" t="str" cm="1">
        <f t="array" aca="1" ref="J583" ca="1">INDEX(PaymentMethods[Payment Method],RANDBETWEEN(1,5))</f>
        <v>UPI</v>
      </c>
    </row>
    <row r="584" spans="1:10" x14ac:dyDescent="0.3">
      <c r="A584" t="str">
        <f t="shared" si="29"/>
        <v>O0583</v>
      </c>
      <c r="B584" s="6">
        <f ca="1">Orders[[#This Row],[Discount%]]</f>
        <v>0.08</v>
      </c>
      <c r="C584" t="str" cm="1">
        <f t="array" aca="1" ref="C584" ca="1">INDEX(Customers[Customer ID],RANDBETWEEN(1,200))</f>
        <v>C018</v>
      </c>
      <c r="D584" t="str" cm="1">
        <f t="array" aca="1" ref="D584" ca="1">INDEX(Products[Product ID],RANDBETWEEN(1,50))</f>
        <v>P002</v>
      </c>
      <c r="E584" t="str" cm="1">
        <f t="array" aca="1" ref="E584" ca="1">INDEX(Warehouses[Warehouse ID],RANDBETWEEN(1,8))</f>
        <v>W008</v>
      </c>
      <c r="F584">
        <f t="shared" ca="1" si="27"/>
        <v>1</v>
      </c>
      <c r="G584">
        <f ca="1">_xlfn.XLOOKUP(Orders[[#This Row],[Product ID]],Products[Product ID],Products[Selling Price])</f>
        <v>550</v>
      </c>
      <c r="H584" s="6">
        <f t="shared" ca="1" si="28"/>
        <v>0.08</v>
      </c>
      <c r="I584">
        <f ca="1">Orders[[#This Row],[Quantity]]*Orders[[#This Row],[Unit Price]]*(1-Orders[[#This Row],[Discount%]])</f>
        <v>506</v>
      </c>
      <c r="J584" t="str" cm="1">
        <f t="array" aca="1" ref="J584" ca="1">INDEX(PaymentMethods[Payment Method],RANDBETWEEN(1,5))</f>
        <v>Debit Card</v>
      </c>
    </row>
    <row r="585" spans="1:10" x14ac:dyDescent="0.3">
      <c r="A585" t="str">
        <f t="shared" si="29"/>
        <v>O0584</v>
      </c>
      <c r="B585" s="6">
        <f ca="1">Orders[[#This Row],[Discount%]]</f>
        <v>0.05</v>
      </c>
      <c r="C585" t="str" cm="1">
        <f t="array" aca="1" ref="C585" ca="1">INDEX(Customers[Customer ID],RANDBETWEEN(1,200))</f>
        <v>C003</v>
      </c>
      <c r="D585" t="str" cm="1">
        <f t="array" aca="1" ref="D585" ca="1">INDEX(Products[Product ID],RANDBETWEEN(1,50))</f>
        <v>P047</v>
      </c>
      <c r="E585" t="str" cm="1">
        <f t="array" aca="1" ref="E585" ca="1">INDEX(Warehouses[Warehouse ID],RANDBETWEEN(1,8))</f>
        <v>W006</v>
      </c>
      <c r="F585">
        <f t="shared" ca="1" si="27"/>
        <v>9</v>
      </c>
      <c r="G585">
        <f ca="1">_xlfn.XLOOKUP(Orders[[#This Row],[Product ID]],Products[Product ID],Products[Selling Price])</f>
        <v>6200</v>
      </c>
      <c r="H585" s="6">
        <f t="shared" ca="1" si="28"/>
        <v>0.05</v>
      </c>
      <c r="I585">
        <f ca="1">Orders[[#This Row],[Quantity]]*Orders[[#This Row],[Unit Price]]*(1-Orders[[#This Row],[Discount%]])</f>
        <v>53010</v>
      </c>
      <c r="J585" t="str" cm="1">
        <f t="array" aca="1" ref="J585" ca="1">INDEX(PaymentMethods[Payment Method],RANDBETWEEN(1,5))</f>
        <v>Cash</v>
      </c>
    </row>
    <row r="586" spans="1:10" x14ac:dyDescent="0.3">
      <c r="A586" t="str">
        <f t="shared" si="29"/>
        <v>O0585</v>
      </c>
      <c r="B586" s="6">
        <f ca="1">Orders[[#This Row],[Discount%]]</f>
        <v>0.05</v>
      </c>
      <c r="C586" t="str" cm="1">
        <f t="array" aca="1" ref="C586" ca="1">INDEX(Customers[Customer ID],RANDBETWEEN(1,200))</f>
        <v>C181</v>
      </c>
      <c r="D586" t="str" cm="1">
        <f t="array" aca="1" ref="D586" ca="1">INDEX(Products[Product ID],RANDBETWEEN(1,50))</f>
        <v>P042</v>
      </c>
      <c r="E586" t="str" cm="1">
        <f t="array" aca="1" ref="E586" ca="1">INDEX(Warehouses[Warehouse ID],RANDBETWEEN(1,8))</f>
        <v>W005</v>
      </c>
      <c r="F586">
        <f t="shared" ca="1" si="27"/>
        <v>9</v>
      </c>
      <c r="G586">
        <f ca="1">_xlfn.XLOOKUP(Orders[[#This Row],[Product ID]],Products[Product ID],Products[Selling Price])</f>
        <v>29000</v>
      </c>
      <c r="H586" s="6">
        <f t="shared" ca="1" si="28"/>
        <v>0.05</v>
      </c>
      <c r="I586">
        <f ca="1">Orders[[#This Row],[Quantity]]*Orders[[#This Row],[Unit Price]]*(1-Orders[[#This Row],[Discount%]])</f>
        <v>247950</v>
      </c>
      <c r="J586" t="str" cm="1">
        <f t="array" aca="1" ref="J586" ca="1">INDEX(PaymentMethods[Payment Method],RANDBETWEEN(1,5))</f>
        <v>Cash</v>
      </c>
    </row>
    <row r="587" spans="1:10" x14ac:dyDescent="0.3">
      <c r="A587" t="str">
        <f t="shared" si="29"/>
        <v>O0586</v>
      </c>
      <c r="B587" s="6">
        <f ca="1">Orders[[#This Row],[Discount%]]</f>
        <v>0.08</v>
      </c>
      <c r="C587" t="str" cm="1">
        <f t="array" aca="1" ref="C587" ca="1">INDEX(Customers[Customer ID],RANDBETWEEN(1,200))</f>
        <v>C038</v>
      </c>
      <c r="D587" t="str" cm="1">
        <f t="array" aca="1" ref="D587" ca="1">INDEX(Products[Product ID],RANDBETWEEN(1,50))</f>
        <v>P002</v>
      </c>
      <c r="E587" t="str" cm="1">
        <f t="array" aca="1" ref="E587" ca="1">INDEX(Warehouses[Warehouse ID],RANDBETWEEN(1,8))</f>
        <v>W005</v>
      </c>
      <c r="F587">
        <f t="shared" ca="1" si="27"/>
        <v>2</v>
      </c>
      <c r="G587">
        <f ca="1">_xlfn.XLOOKUP(Orders[[#This Row],[Product ID]],Products[Product ID],Products[Selling Price])</f>
        <v>550</v>
      </c>
      <c r="H587" s="6">
        <f t="shared" ca="1" si="28"/>
        <v>0.08</v>
      </c>
      <c r="I587">
        <f ca="1">Orders[[#This Row],[Quantity]]*Orders[[#This Row],[Unit Price]]*(1-Orders[[#This Row],[Discount%]])</f>
        <v>1012</v>
      </c>
      <c r="J587" t="str" cm="1">
        <f t="array" aca="1" ref="J587" ca="1">INDEX(PaymentMethods[Payment Method],RANDBETWEEN(1,5))</f>
        <v>Debit Card</v>
      </c>
    </row>
    <row r="588" spans="1:10" x14ac:dyDescent="0.3">
      <c r="A588" t="str">
        <f t="shared" si="29"/>
        <v>O0587</v>
      </c>
      <c r="B588" s="6">
        <f ca="1">Orders[[#This Row],[Discount%]]</f>
        <v>0.17</v>
      </c>
      <c r="C588" t="str" cm="1">
        <f t="array" aca="1" ref="C588" ca="1">INDEX(Customers[Customer ID],RANDBETWEEN(1,200))</f>
        <v>C067</v>
      </c>
      <c r="D588" t="str" cm="1">
        <f t="array" aca="1" ref="D588" ca="1">INDEX(Products[Product ID],RANDBETWEEN(1,50))</f>
        <v>P009</v>
      </c>
      <c r="E588" t="str" cm="1">
        <f t="array" aca="1" ref="E588" ca="1">INDEX(Warehouses[Warehouse ID],RANDBETWEEN(1,8))</f>
        <v>W008</v>
      </c>
      <c r="F588">
        <f t="shared" ca="1" si="27"/>
        <v>8</v>
      </c>
      <c r="G588">
        <f ca="1">_xlfn.XLOOKUP(Orders[[#This Row],[Product ID]],Products[Product ID],Products[Selling Price])</f>
        <v>20000</v>
      </c>
      <c r="H588" s="6">
        <f t="shared" ca="1" si="28"/>
        <v>0.17</v>
      </c>
      <c r="I588">
        <f ca="1">Orders[[#This Row],[Quantity]]*Orders[[#This Row],[Unit Price]]*(1-Orders[[#This Row],[Discount%]])</f>
        <v>132800</v>
      </c>
      <c r="J588" t="str" cm="1">
        <f t="array" aca="1" ref="J588" ca="1">INDEX(PaymentMethods[Payment Method],RANDBETWEEN(1,5))</f>
        <v>Net Banking</v>
      </c>
    </row>
    <row r="589" spans="1:10" x14ac:dyDescent="0.3">
      <c r="A589" t="str">
        <f t="shared" si="29"/>
        <v>O0588</v>
      </c>
      <c r="B589" s="6">
        <f ca="1">Orders[[#This Row],[Discount%]]</f>
        <v>0.18</v>
      </c>
      <c r="C589" t="str" cm="1">
        <f t="array" aca="1" ref="C589" ca="1">INDEX(Customers[Customer ID],RANDBETWEEN(1,200))</f>
        <v>C025</v>
      </c>
      <c r="D589" t="str" cm="1">
        <f t="array" aca="1" ref="D589" ca="1">INDEX(Products[Product ID],RANDBETWEEN(1,50))</f>
        <v>P021</v>
      </c>
      <c r="E589" t="str" cm="1">
        <f t="array" aca="1" ref="E589" ca="1">INDEX(Warehouses[Warehouse ID],RANDBETWEEN(1,8))</f>
        <v>W006</v>
      </c>
      <c r="F589">
        <f t="shared" ca="1" si="27"/>
        <v>7</v>
      </c>
      <c r="G589">
        <f ca="1">_xlfn.XLOOKUP(Orders[[#This Row],[Product ID]],Products[Product ID],Products[Selling Price])</f>
        <v>22000</v>
      </c>
      <c r="H589" s="6">
        <f t="shared" ca="1" si="28"/>
        <v>0.18</v>
      </c>
      <c r="I589">
        <f ca="1">Orders[[#This Row],[Quantity]]*Orders[[#This Row],[Unit Price]]*(1-Orders[[#This Row],[Discount%]])</f>
        <v>126280.00000000001</v>
      </c>
      <c r="J589" t="str" cm="1">
        <f t="array" aca="1" ref="J589" ca="1">INDEX(PaymentMethods[Payment Method],RANDBETWEEN(1,5))</f>
        <v>Debit Card</v>
      </c>
    </row>
    <row r="590" spans="1:10" x14ac:dyDescent="0.3">
      <c r="A590" t="str">
        <f t="shared" si="29"/>
        <v>O0589</v>
      </c>
      <c r="B590" s="6">
        <f ca="1">Orders[[#This Row],[Discount%]]</f>
        <v>0.17</v>
      </c>
      <c r="C590" t="str" cm="1">
        <f t="array" aca="1" ref="C590" ca="1">INDEX(Customers[Customer ID],RANDBETWEEN(1,200))</f>
        <v>C162</v>
      </c>
      <c r="D590" t="str" cm="1">
        <f t="array" aca="1" ref="D590" ca="1">INDEX(Products[Product ID],RANDBETWEEN(1,50))</f>
        <v>P038</v>
      </c>
      <c r="E590" t="str" cm="1">
        <f t="array" aca="1" ref="E590" ca="1">INDEX(Warehouses[Warehouse ID],RANDBETWEEN(1,8))</f>
        <v>W003</v>
      </c>
      <c r="F590">
        <f t="shared" ca="1" si="27"/>
        <v>8</v>
      </c>
      <c r="G590">
        <f ca="1">_xlfn.XLOOKUP(Orders[[#This Row],[Product ID]],Products[Product ID],Products[Selling Price])</f>
        <v>1500</v>
      </c>
      <c r="H590" s="6">
        <f t="shared" ca="1" si="28"/>
        <v>0.17</v>
      </c>
      <c r="I590">
        <f ca="1">Orders[[#This Row],[Quantity]]*Orders[[#This Row],[Unit Price]]*(1-Orders[[#This Row],[Discount%]])</f>
        <v>9960</v>
      </c>
      <c r="J590" t="str" cm="1">
        <f t="array" aca="1" ref="J590" ca="1">INDEX(PaymentMethods[Payment Method],RANDBETWEEN(1,5))</f>
        <v>Cash</v>
      </c>
    </row>
    <row r="591" spans="1:10" x14ac:dyDescent="0.3">
      <c r="A591" t="str">
        <f t="shared" si="29"/>
        <v>O0590</v>
      </c>
      <c r="B591" s="6">
        <f ca="1">Orders[[#This Row],[Discount%]]</f>
        <v>0.13</v>
      </c>
      <c r="C591" t="str" cm="1">
        <f t="array" aca="1" ref="C591" ca="1">INDEX(Customers[Customer ID],RANDBETWEEN(1,200))</f>
        <v>C095</v>
      </c>
      <c r="D591" t="str" cm="1">
        <f t="array" aca="1" ref="D591" ca="1">INDEX(Products[Product ID],RANDBETWEEN(1,50))</f>
        <v>P039</v>
      </c>
      <c r="E591" t="str" cm="1">
        <f t="array" aca="1" ref="E591" ca="1">INDEX(Warehouses[Warehouse ID],RANDBETWEEN(1,8))</f>
        <v>W005</v>
      </c>
      <c r="F591">
        <f t="shared" ca="1" si="27"/>
        <v>8</v>
      </c>
      <c r="G591">
        <f ca="1">_xlfn.XLOOKUP(Orders[[#This Row],[Product ID]],Products[Product ID],Products[Selling Price])</f>
        <v>250</v>
      </c>
      <c r="H591" s="6">
        <f t="shared" ca="1" si="28"/>
        <v>0.13</v>
      </c>
      <c r="I591">
        <f ca="1">Orders[[#This Row],[Quantity]]*Orders[[#This Row],[Unit Price]]*(1-Orders[[#This Row],[Discount%]])</f>
        <v>1740</v>
      </c>
      <c r="J591" t="str" cm="1">
        <f t="array" aca="1" ref="J591" ca="1">INDEX(PaymentMethods[Payment Method],RANDBETWEEN(1,5))</f>
        <v>Debit Card</v>
      </c>
    </row>
    <row r="592" spans="1:10" x14ac:dyDescent="0.3">
      <c r="A592" t="str">
        <f t="shared" si="29"/>
        <v>O0591</v>
      </c>
      <c r="B592" s="6">
        <f ca="1">Orders[[#This Row],[Discount%]]</f>
        <v>0.08</v>
      </c>
      <c r="C592" t="str" cm="1">
        <f t="array" aca="1" ref="C592" ca="1">INDEX(Customers[Customer ID],RANDBETWEEN(1,200))</f>
        <v>C059</v>
      </c>
      <c r="D592" t="str" cm="1">
        <f t="array" aca="1" ref="D592" ca="1">INDEX(Products[Product ID],RANDBETWEEN(1,50))</f>
        <v>P019</v>
      </c>
      <c r="E592" t="str" cm="1">
        <f t="array" aca="1" ref="E592" ca="1">INDEX(Warehouses[Warehouse ID],RANDBETWEEN(1,8))</f>
        <v>W005</v>
      </c>
      <c r="F592">
        <f t="shared" ca="1" si="27"/>
        <v>7</v>
      </c>
      <c r="G592">
        <f ca="1">_xlfn.XLOOKUP(Orders[[#This Row],[Product ID]],Products[Product ID],Products[Selling Price])</f>
        <v>950</v>
      </c>
      <c r="H592" s="6">
        <f t="shared" ca="1" si="28"/>
        <v>0.08</v>
      </c>
      <c r="I592">
        <f ca="1">Orders[[#This Row],[Quantity]]*Orders[[#This Row],[Unit Price]]*(1-Orders[[#This Row],[Discount%]])</f>
        <v>6118</v>
      </c>
      <c r="J592" t="str" cm="1">
        <f t="array" aca="1" ref="J592" ca="1">INDEX(PaymentMethods[Payment Method],RANDBETWEEN(1,5))</f>
        <v>UPI</v>
      </c>
    </row>
    <row r="593" spans="1:10" x14ac:dyDescent="0.3">
      <c r="A593" t="str">
        <f t="shared" si="29"/>
        <v>O0592</v>
      </c>
      <c r="B593" s="6">
        <f ca="1">Orders[[#This Row],[Discount%]]</f>
        <v>0.02</v>
      </c>
      <c r="C593" t="str" cm="1">
        <f t="array" aca="1" ref="C593" ca="1">INDEX(Customers[Customer ID],RANDBETWEEN(1,200))</f>
        <v>C135</v>
      </c>
      <c r="D593" t="str" cm="1">
        <f t="array" aca="1" ref="D593" ca="1">INDEX(Products[Product ID],RANDBETWEEN(1,50))</f>
        <v>P010</v>
      </c>
      <c r="E593" t="str" cm="1">
        <f t="array" aca="1" ref="E593" ca="1">INDEX(Warehouses[Warehouse ID],RANDBETWEEN(1,8))</f>
        <v>W008</v>
      </c>
      <c r="F593">
        <f t="shared" ca="1" si="27"/>
        <v>3</v>
      </c>
      <c r="G593">
        <f ca="1">_xlfn.XLOOKUP(Orders[[#This Row],[Product ID]],Products[Product ID],Products[Selling Price])</f>
        <v>250</v>
      </c>
      <c r="H593" s="6">
        <f t="shared" ca="1" si="28"/>
        <v>0.02</v>
      </c>
      <c r="I593">
        <f ca="1">Orders[[#This Row],[Quantity]]*Orders[[#This Row],[Unit Price]]*(1-Orders[[#This Row],[Discount%]])</f>
        <v>735</v>
      </c>
      <c r="J593" t="str" cm="1">
        <f t="array" aca="1" ref="J593" ca="1">INDEX(PaymentMethods[Payment Method],RANDBETWEEN(1,5))</f>
        <v>Credit Card</v>
      </c>
    </row>
    <row r="594" spans="1:10" x14ac:dyDescent="0.3">
      <c r="A594" t="str">
        <f t="shared" si="29"/>
        <v>O0593</v>
      </c>
      <c r="B594" s="6">
        <f ca="1">Orders[[#This Row],[Discount%]]</f>
        <v>0.12</v>
      </c>
      <c r="C594" t="str" cm="1">
        <f t="array" aca="1" ref="C594" ca="1">INDEX(Customers[Customer ID],RANDBETWEEN(1,200))</f>
        <v>C034</v>
      </c>
      <c r="D594" t="str" cm="1">
        <f t="array" aca="1" ref="D594" ca="1">INDEX(Products[Product ID],RANDBETWEEN(1,50))</f>
        <v>P009</v>
      </c>
      <c r="E594" t="str" cm="1">
        <f t="array" aca="1" ref="E594" ca="1">INDEX(Warehouses[Warehouse ID],RANDBETWEEN(1,8))</f>
        <v>W007</v>
      </c>
      <c r="F594">
        <f t="shared" ca="1" si="27"/>
        <v>2</v>
      </c>
      <c r="G594">
        <f ca="1">_xlfn.XLOOKUP(Orders[[#This Row],[Product ID]],Products[Product ID],Products[Selling Price])</f>
        <v>20000</v>
      </c>
      <c r="H594" s="6">
        <f t="shared" ca="1" si="28"/>
        <v>0.12</v>
      </c>
      <c r="I594">
        <f ca="1">Orders[[#This Row],[Quantity]]*Orders[[#This Row],[Unit Price]]*(1-Orders[[#This Row],[Discount%]])</f>
        <v>35200</v>
      </c>
      <c r="J594" t="str" cm="1">
        <f t="array" aca="1" ref="J594" ca="1">INDEX(PaymentMethods[Payment Method],RANDBETWEEN(1,5))</f>
        <v>Debit Card</v>
      </c>
    </row>
    <row r="595" spans="1:10" x14ac:dyDescent="0.3">
      <c r="A595" t="str">
        <f t="shared" si="29"/>
        <v>O0594</v>
      </c>
      <c r="B595" s="6">
        <f ca="1">Orders[[#This Row],[Discount%]]</f>
        <v>0.01</v>
      </c>
      <c r="C595" t="str" cm="1">
        <f t="array" aca="1" ref="C595" ca="1">INDEX(Customers[Customer ID],RANDBETWEEN(1,200))</f>
        <v>C086</v>
      </c>
      <c r="D595" t="str" cm="1">
        <f t="array" aca="1" ref="D595" ca="1">INDEX(Products[Product ID],RANDBETWEEN(1,50))</f>
        <v>P040</v>
      </c>
      <c r="E595" t="str" cm="1">
        <f t="array" aca="1" ref="E595" ca="1">INDEX(Warehouses[Warehouse ID],RANDBETWEEN(1,8))</f>
        <v>W002</v>
      </c>
      <c r="F595">
        <f t="shared" ca="1" si="27"/>
        <v>2</v>
      </c>
      <c r="G595">
        <f ca="1">_xlfn.XLOOKUP(Orders[[#This Row],[Product ID]],Products[Product ID],Products[Selling Price])</f>
        <v>180</v>
      </c>
      <c r="H595" s="6">
        <f t="shared" ca="1" si="28"/>
        <v>0.01</v>
      </c>
      <c r="I595">
        <f ca="1">Orders[[#This Row],[Quantity]]*Orders[[#This Row],[Unit Price]]*(1-Orders[[#This Row],[Discount%]])</f>
        <v>356.4</v>
      </c>
      <c r="J595" t="str" cm="1">
        <f t="array" aca="1" ref="J595" ca="1">INDEX(PaymentMethods[Payment Method],RANDBETWEEN(1,5))</f>
        <v>Cash</v>
      </c>
    </row>
    <row r="596" spans="1:10" x14ac:dyDescent="0.3">
      <c r="A596" t="str">
        <f t="shared" si="29"/>
        <v>O0595</v>
      </c>
      <c r="B596" s="6">
        <f ca="1">Orders[[#This Row],[Discount%]]</f>
        <v>0.01</v>
      </c>
      <c r="C596" t="str" cm="1">
        <f t="array" aca="1" ref="C596" ca="1">INDEX(Customers[Customer ID],RANDBETWEEN(1,200))</f>
        <v>C163</v>
      </c>
      <c r="D596" t="str" cm="1">
        <f t="array" aca="1" ref="D596" ca="1">INDEX(Products[Product ID],RANDBETWEEN(1,50))</f>
        <v>P015</v>
      </c>
      <c r="E596" t="str" cm="1">
        <f t="array" aca="1" ref="E596" ca="1">INDEX(Warehouses[Warehouse ID],RANDBETWEEN(1,8))</f>
        <v>W004</v>
      </c>
      <c r="F596">
        <f t="shared" ca="1" si="27"/>
        <v>7</v>
      </c>
      <c r="G596">
        <f ca="1">_xlfn.XLOOKUP(Orders[[#This Row],[Product ID]],Products[Product ID],Products[Selling Price])</f>
        <v>1800</v>
      </c>
      <c r="H596" s="6">
        <f t="shared" ca="1" si="28"/>
        <v>0.01</v>
      </c>
      <c r="I596">
        <f ca="1">Orders[[#This Row],[Quantity]]*Orders[[#This Row],[Unit Price]]*(1-Orders[[#This Row],[Discount%]])</f>
        <v>12474</v>
      </c>
      <c r="J596" t="str" cm="1">
        <f t="array" aca="1" ref="J596" ca="1">INDEX(PaymentMethods[Payment Method],RANDBETWEEN(1,5))</f>
        <v>Debit Card</v>
      </c>
    </row>
    <row r="597" spans="1:10" x14ac:dyDescent="0.3">
      <c r="A597" t="str">
        <f t="shared" si="29"/>
        <v>O0596</v>
      </c>
      <c r="B597" s="6">
        <f ca="1">Orders[[#This Row],[Discount%]]</f>
        <v>0.05</v>
      </c>
      <c r="C597" t="str" cm="1">
        <f t="array" aca="1" ref="C597" ca="1">INDEX(Customers[Customer ID],RANDBETWEEN(1,200))</f>
        <v>C111</v>
      </c>
      <c r="D597" t="str" cm="1">
        <f t="array" aca="1" ref="D597" ca="1">INDEX(Products[Product ID],RANDBETWEEN(1,50))</f>
        <v>P016</v>
      </c>
      <c r="E597" t="str" cm="1">
        <f t="array" aca="1" ref="E597" ca="1">INDEX(Warehouses[Warehouse ID],RANDBETWEEN(1,8))</f>
        <v>W005</v>
      </c>
      <c r="F597">
        <f t="shared" ca="1" si="27"/>
        <v>7</v>
      </c>
      <c r="G597">
        <f ca="1">_xlfn.XLOOKUP(Orders[[#This Row],[Product ID]],Products[Product ID],Products[Selling Price])</f>
        <v>2500</v>
      </c>
      <c r="H597" s="6">
        <f t="shared" ca="1" si="28"/>
        <v>0.05</v>
      </c>
      <c r="I597">
        <f ca="1">Orders[[#This Row],[Quantity]]*Orders[[#This Row],[Unit Price]]*(1-Orders[[#This Row],[Discount%]])</f>
        <v>16625</v>
      </c>
      <c r="J597" t="str" cm="1">
        <f t="array" aca="1" ref="J597" ca="1">INDEX(PaymentMethods[Payment Method],RANDBETWEEN(1,5))</f>
        <v>UPI</v>
      </c>
    </row>
    <row r="598" spans="1:10" x14ac:dyDescent="0.3">
      <c r="A598" t="str">
        <f t="shared" si="29"/>
        <v>O0597</v>
      </c>
      <c r="B598" s="6">
        <f ca="1">Orders[[#This Row],[Discount%]]</f>
        <v>0.16</v>
      </c>
      <c r="C598" t="str" cm="1">
        <f t="array" aca="1" ref="C598" ca="1">INDEX(Customers[Customer ID],RANDBETWEEN(1,200))</f>
        <v>C077</v>
      </c>
      <c r="D598" t="str" cm="1">
        <f t="array" aca="1" ref="D598" ca="1">INDEX(Products[Product ID],RANDBETWEEN(1,50))</f>
        <v>P025</v>
      </c>
      <c r="E598" t="str" cm="1">
        <f t="array" aca="1" ref="E598" ca="1">INDEX(Warehouses[Warehouse ID],RANDBETWEEN(1,8))</f>
        <v>W002</v>
      </c>
      <c r="F598">
        <f t="shared" ca="1" si="27"/>
        <v>3</v>
      </c>
      <c r="G598">
        <f ca="1">_xlfn.XLOOKUP(Orders[[#This Row],[Product ID]],Products[Product ID],Products[Selling Price])</f>
        <v>1800</v>
      </c>
      <c r="H598" s="6">
        <f t="shared" ca="1" si="28"/>
        <v>0.16</v>
      </c>
      <c r="I598">
        <f ca="1">Orders[[#This Row],[Quantity]]*Orders[[#This Row],[Unit Price]]*(1-Orders[[#This Row],[Discount%]])</f>
        <v>4536</v>
      </c>
      <c r="J598" t="str" cm="1">
        <f t="array" aca="1" ref="J598" ca="1">INDEX(PaymentMethods[Payment Method],RANDBETWEEN(1,5))</f>
        <v>UPI</v>
      </c>
    </row>
    <row r="599" spans="1:10" x14ac:dyDescent="0.3">
      <c r="A599" t="str">
        <f t="shared" si="29"/>
        <v>O0598</v>
      </c>
      <c r="B599" s="6">
        <f ca="1">Orders[[#This Row],[Discount%]]</f>
        <v>0.18</v>
      </c>
      <c r="C599" t="str" cm="1">
        <f t="array" aca="1" ref="C599" ca="1">INDEX(Customers[Customer ID],RANDBETWEEN(1,200))</f>
        <v>C026</v>
      </c>
      <c r="D599" t="str" cm="1">
        <f t="array" aca="1" ref="D599" ca="1">INDEX(Products[Product ID],RANDBETWEEN(1,50))</f>
        <v>P040</v>
      </c>
      <c r="E599" t="str" cm="1">
        <f t="array" aca="1" ref="E599" ca="1">INDEX(Warehouses[Warehouse ID],RANDBETWEEN(1,8))</f>
        <v>W005</v>
      </c>
      <c r="F599">
        <f t="shared" ca="1" si="27"/>
        <v>7</v>
      </c>
      <c r="G599">
        <f ca="1">_xlfn.XLOOKUP(Orders[[#This Row],[Product ID]],Products[Product ID],Products[Selling Price])</f>
        <v>180</v>
      </c>
      <c r="H599" s="6">
        <f t="shared" ca="1" si="28"/>
        <v>0.18</v>
      </c>
      <c r="I599">
        <f ca="1">Orders[[#This Row],[Quantity]]*Orders[[#This Row],[Unit Price]]*(1-Orders[[#This Row],[Discount%]])</f>
        <v>1033.2</v>
      </c>
      <c r="J599" t="str" cm="1">
        <f t="array" aca="1" ref="J599" ca="1">INDEX(PaymentMethods[Payment Method],RANDBETWEEN(1,5))</f>
        <v>UPI</v>
      </c>
    </row>
    <row r="600" spans="1:10" x14ac:dyDescent="0.3">
      <c r="A600" t="str">
        <f t="shared" si="29"/>
        <v>O0599</v>
      </c>
      <c r="B600" s="6">
        <f ca="1">Orders[[#This Row],[Discount%]]</f>
        <v>0.17</v>
      </c>
      <c r="C600" t="str" cm="1">
        <f t="array" aca="1" ref="C600" ca="1">INDEX(Customers[Customer ID],RANDBETWEEN(1,200))</f>
        <v>C175</v>
      </c>
      <c r="D600" t="str" cm="1">
        <f t="array" aca="1" ref="D600" ca="1">INDEX(Products[Product ID],RANDBETWEEN(1,50))</f>
        <v>P048</v>
      </c>
      <c r="E600" t="str" cm="1">
        <f t="array" aca="1" ref="E600" ca="1">INDEX(Warehouses[Warehouse ID],RANDBETWEEN(1,8))</f>
        <v>W007</v>
      </c>
      <c r="F600">
        <f t="shared" ca="1" si="27"/>
        <v>7</v>
      </c>
      <c r="G600">
        <f ca="1">_xlfn.XLOOKUP(Orders[[#This Row],[Product ID]],Products[Product ID],Products[Selling Price])</f>
        <v>1200</v>
      </c>
      <c r="H600" s="6">
        <f t="shared" ca="1" si="28"/>
        <v>0.17</v>
      </c>
      <c r="I600">
        <f ca="1">Orders[[#This Row],[Quantity]]*Orders[[#This Row],[Unit Price]]*(1-Orders[[#This Row],[Discount%]])</f>
        <v>6972</v>
      </c>
      <c r="J600" t="str" cm="1">
        <f t="array" aca="1" ref="J600" ca="1">INDEX(PaymentMethods[Payment Method],RANDBETWEEN(1,5))</f>
        <v>Credit Card</v>
      </c>
    </row>
    <row r="601" spans="1:10" x14ac:dyDescent="0.3">
      <c r="A601" t="str">
        <f t="shared" si="29"/>
        <v>O0600</v>
      </c>
      <c r="B601" s="6">
        <f ca="1">Orders[[#This Row],[Discount%]]</f>
        <v>0.04</v>
      </c>
      <c r="C601" t="str" cm="1">
        <f t="array" aca="1" ref="C601" ca="1">INDEX(Customers[Customer ID],RANDBETWEEN(1,200))</f>
        <v>C058</v>
      </c>
      <c r="D601" t="str" cm="1">
        <f t="array" aca="1" ref="D601" ca="1">INDEX(Products[Product ID],RANDBETWEEN(1,50))</f>
        <v>P015</v>
      </c>
      <c r="E601" t="str" cm="1">
        <f t="array" aca="1" ref="E601" ca="1">INDEX(Warehouses[Warehouse ID],RANDBETWEEN(1,8))</f>
        <v>W002</v>
      </c>
      <c r="F601">
        <f t="shared" ca="1" si="27"/>
        <v>2</v>
      </c>
      <c r="G601">
        <f ca="1">_xlfn.XLOOKUP(Orders[[#This Row],[Product ID]],Products[Product ID],Products[Selling Price])</f>
        <v>1800</v>
      </c>
      <c r="H601" s="6">
        <f t="shared" ca="1" si="28"/>
        <v>0.04</v>
      </c>
      <c r="I601">
        <f ca="1">Orders[[#This Row],[Quantity]]*Orders[[#This Row],[Unit Price]]*(1-Orders[[#This Row],[Discount%]])</f>
        <v>3456</v>
      </c>
      <c r="J601" t="str" cm="1">
        <f t="array" aca="1" ref="J601" ca="1">INDEX(PaymentMethods[Payment Method],RANDBETWEEN(1,5))</f>
        <v>Cash</v>
      </c>
    </row>
    <row r="602" spans="1:10" x14ac:dyDescent="0.3">
      <c r="A602" t="str">
        <f t="shared" si="29"/>
        <v>O0601</v>
      </c>
      <c r="B602" s="6">
        <f ca="1">Orders[[#This Row],[Discount%]]</f>
        <v>0.15</v>
      </c>
      <c r="C602" t="str" cm="1">
        <f t="array" aca="1" ref="C602" ca="1">INDEX(Customers[Customer ID],RANDBETWEEN(1,200))</f>
        <v>C187</v>
      </c>
      <c r="D602" t="str" cm="1">
        <f t="array" aca="1" ref="D602" ca="1">INDEX(Products[Product ID],RANDBETWEEN(1,50))</f>
        <v>P027</v>
      </c>
      <c r="E602" t="str" cm="1">
        <f t="array" aca="1" ref="E602" ca="1">INDEX(Warehouses[Warehouse ID],RANDBETWEEN(1,8))</f>
        <v>W001</v>
      </c>
      <c r="F602">
        <f t="shared" ca="1" si="27"/>
        <v>4</v>
      </c>
      <c r="G602">
        <f ca="1">_xlfn.XLOOKUP(Orders[[#This Row],[Product ID]],Products[Product ID],Products[Selling Price])</f>
        <v>4000</v>
      </c>
      <c r="H602" s="6">
        <f t="shared" ca="1" si="28"/>
        <v>0.15</v>
      </c>
      <c r="I602">
        <f ca="1">Orders[[#This Row],[Quantity]]*Orders[[#This Row],[Unit Price]]*(1-Orders[[#This Row],[Discount%]])</f>
        <v>13600</v>
      </c>
      <c r="J602" t="str" cm="1">
        <f t="array" aca="1" ref="J602" ca="1">INDEX(PaymentMethods[Payment Method],RANDBETWEEN(1,5))</f>
        <v>Cash</v>
      </c>
    </row>
    <row r="603" spans="1:10" x14ac:dyDescent="0.3">
      <c r="A603" t="str">
        <f t="shared" si="29"/>
        <v>O0602</v>
      </c>
      <c r="B603" s="6">
        <f ca="1">Orders[[#This Row],[Discount%]]</f>
        <v>0.17</v>
      </c>
      <c r="C603" t="str" cm="1">
        <f t="array" aca="1" ref="C603" ca="1">INDEX(Customers[Customer ID],RANDBETWEEN(1,200))</f>
        <v>C177</v>
      </c>
      <c r="D603" t="str" cm="1">
        <f t="array" aca="1" ref="D603" ca="1">INDEX(Products[Product ID],RANDBETWEEN(1,50))</f>
        <v>P037</v>
      </c>
      <c r="E603" t="str" cm="1">
        <f t="array" aca="1" ref="E603" ca="1">INDEX(Warehouses[Warehouse ID],RANDBETWEEN(1,8))</f>
        <v>W005</v>
      </c>
      <c r="F603">
        <f t="shared" ca="1" si="27"/>
        <v>1</v>
      </c>
      <c r="G603">
        <f ca="1">_xlfn.XLOOKUP(Orders[[#This Row],[Product ID]],Products[Product ID],Products[Selling Price])</f>
        <v>550</v>
      </c>
      <c r="H603" s="6">
        <f t="shared" ca="1" si="28"/>
        <v>0.17</v>
      </c>
      <c r="I603">
        <f ca="1">Orders[[#This Row],[Quantity]]*Orders[[#This Row],[Unit Price]]*(1-Orders[[#This Row],[Discount%]])</f>
        <v>456.5</v>
      </c>
      <c r="J603" t="str" cm="1">
        <f t="array" aca="1" ref="J603" ca="1">INDEX(PaymentMethods[Payment Method],RANDBETWEEN(1,5))</f>
        <v>Credit Card</v>
      </c>
    </row>
    <row r="604" spans="1:10" x14ac:dyDescent="0.3">
      <c r="A604" t="str">
        <f t="shared" si="29"/>
        <v>O0603</v>
      </c>
      <c r="B604" s="6">
        <f ca="1">Orders[[#This Row],[Discount%]]</f>
        <v>0.05</v>
      </c>
      <c r="C604" t="str" cm="1">
        <f t="array" aca="1" ref="C604" ca="1">INDEX(Customers[Customer ID],RANDBETWEEN(1,200))</f>
        <v>C193</v>
      </c>
      <c r="D604" t="str" cm="1">
        <f t="array" aca="1" ref="D604" ca="1">INDEX(Products[Product ID],RANDBETWEEN(1,50))</f>
        <v>P033</v>
      </c>
      <c r="E604" t="str" cm="1">
        <f t="array" aca="1" ref="E604" ca="1">INDEX(Warehouses[Warehouse ID],RANDBETWEEN(1,8))</f>
        <v>W005</v>
      </c>
      <c r="F604">
        <f t="shared" ca="1" si="27"/>
        <v>10</v>
      </c>
      <c r="G604">
        <f ca="1">_xlfn.XLOOKUP(Orders[[#This Row],[Product ID]],Products[Product ID],Products[Selling Price])</f>
        <v>180</v>
      </c>
      <c r="H604" s="6">
        <f t="shared" ca="1" si="28"/>
        <v>0.05</v>
      </c>
      <c r="I604">
        <f ca="1">Orders[[#This Row],[Quantity]]*Orders[[#This Row],[Unit Price]]*(1-Orders[[#This Row],[Discount%]])</f>
        <v>1710</v>
      </c>
      <c r="J604" t="str" cm="1">
        <f t="array" aca="1" ref="J604" ca="1">INDEX(PaymentMethods[Payment Method],RANDBETWEEN(1,5))</f>
        <v>Debit Card</v>
      </c>
    </row>
    <row r="605" spans="1:10" x14ac:dyDescent="0.3">
      <c r="A605" t="str">
        <f t="shared" si="29"/>
        <v>O0604</v>
      </c>
      <c r="B605" s="6">
        <f ca="1">Orders[[#This Row],[Discount%]]</f>
        <v>0.01</v>
      </c>
      <c r="C605" t="str" cm="1">
        <f t="array" aca="1" ref="C605" ca="1">INDEX(Customers[Customer ID],RANDBETWEEN(1,200))</f>
        <v>C177</v>
      </c>
      <c r="D605" t="str" cm="1">
        <f t="array" aca="1" ref="D605" ca="1">INDEX(Products[Product ID],RANDBETWEEN(1,50))</f>
        <v>P045</v>
      </c>
      <c r="E605" t="str" cm="1">
        <f t="array" aca="1" ref="E605" ca="1">INDEX(Warehouses[Warehouse ID],RANDBETWEEN(1,8))</f>
        <v>W006</v>
      </c>
      <c r="F605">
        <f t="shared" ca="1" si="27"/>
        <v>5</v>
      </c>
      <c r="G605">
        <f ca="1">_xlfn.XLOOKUP(Orders[[#This Row],[Product ID]],Products[Product ID],Products[Selling Price])</f>
        <v>1500</v>
      </c>
      <c r="H605" s="6">
        <f t="shared" ca="1" si="28"/>
        <v>0.01</v>
      </c>
      <c r="I605">
        <f ca="1">Orders[[#This Row],[Quantity]]*Orders[[#This Row],[Unit Price]]*(1-Orders[[#This Row],[Discount%]])</f>
        <v>7425</v>
      </c>
      <c r="J605" t="str" cm="1">
        <f t="array" aca="1" ref="J605" ca="1">INDEX(PaymentMethods[Payment Method],RANDBETWEEN(1,5))</f>
        <v>Debit Card</v>
      </c>
    </row>
    <row r="606" spans="1:10" x14ac:dyDescent="0.3">
      <c r="A606" t="str">
        <f t="shared" si="29"/>
        <v>O0605</v>
      </c>
      <c r="B606" s="6">
        <f ca="1">Orders[[#This Row],[Discount%]]</f>
        <v>0.13</v>
      </c>
      <c r="C606" t="str" cm="1">
        <f t="array" aca="1" ref="C606" ca="1">INDEX(Customers[Customer ID],RANDBETWEEN(1,200))</f>
        <v>C069</v>
      </c>
      <c r="D606" t="str" cm="1">
        <f t="array" aca="1" ref="D606" ca="1">INDEX(Products[Product ID],RANDBETWEEN(1,50))</f>
        <v>P022</v>
      </c>
      <c r="E606" t="str" cm="1">
        <f t="array" aca="1" ref="E606" ca="1">INDEX(Warehouses[Warehouse ID],RANDBETWEEN(1,8))</f>
        <v>W006</v>
      </c>
      <c r="F606">
        <f t="shared" ca="1" si="27"/>
        <v>6</v>
      </c>
      <c r="G606">
        <f ca="1">_xlfn.XLOOKUP(Orders[[#This Row],[Product ID]],Products[Product ID],Products[Selling Price])</f>
        <v>5000</v>
      </c>
      <c r="H606" s="6">
        <f t="shared" ca="1" si="28"/>
        <v>0.13</v>
      </c>
      <c r="I606">
        <f ca="1">Orders[[#This Row],[Quantity]]*Orders[[#This Row],[Unit Price]]*(1-Orders[[#This Row],[Discount%]])</f>
        <v>26100</v>
      </c>
      <c r="J606" t="str" cm="1">
        <f t="array" aca="1" ref="J606" ca="1">INDEX(PaymentMethods[Payment Method],RANDBETWEEN(1,5))</f>
        <v>Cash</v>
      </c>
    </row>
    <row r="607" spans="1:10" x14ac:dyDescent="0.3">
      <c r="A607" t="str">
        <f t="shared" si="29"/>
        <v>O0606</v>
      </c>
      <c r="B607" s="6">
        <f ca="1">Orders[[#This Row],[Discount%]]</f>
        <v>0.18</v>
      </c>
      <c r="C607" t="str" cm="1">
        <f t="array" aca="1" ref="C607" ca="1">INDEX(Customers[Customer ID],RANDBETWEEN(1,200))</f>
        <v>C098</v>
      </c>
      <c r="D607" t="str" cm="1">
        <f t="array" aca="1" ref="D607" ca="1">INDEX(Products[Product ID],RANDBETWEEN(1,50))</f>
        <v>P040</v>
      </c>
      <c r="E607" t="str" cm="1">
        <f t="array" aca="1" ref="E607" ca="1">INDEX(Warehouses[Warehouse ID],RANDBETWEEN(1,8))</f>
        <v>W004</v>
      </c>
      <c r="F607">
        <f t="shared" ca="1" si="27"/>
        <v>5</v>
      </c>
      <c r="G607">
        <f ca="1">_xlfn.XLOOKUP(Orders[[#This Row],[Product ID]],Products[Product ID],Products[Selling Price])</f>
        <v>180</v>
      </c>
      <c r="H607" s="6">
        <f t="shared" ca="1" si="28"/>
        <v>0.18</v>
      </c>
      <c r="I607">
        <f ca="1">Orders[[#This Row],[Quantity]]*Orders[[#This Row],[Unit Price]]*(1-Orders[[#This Row],[Discount%]])</f>
        <v>738</v>
      </c>
      <c r="J607" t="str" cm="1">
        <f t="array" aca="1" ref="J607" ca="1">INDEX(PaymentMethods[Payment Method],RANDBETWEEN(1,5))</f>
        <v>UPI</v>
      </c>
    </row>
    <row r="608" spans="1:10" x14ac:dyDescent="0.3">
      <c r="A608" t="str">
        <f t="shared" si="29"/>
        <v>O0607</v>
      </c>
      <c r="B608" s="6">
        <f ca="1">Orders[[#This Row],[Discount%]]</f>
        <v>0.13</v>
      </c>
      <c r="C608" t="str" cm="1">
        <f t="array" aca="1" ref="C608" ca="1">INDEX(Customers[Customer ID],RANDBETWEEN(1,200))</f>
        <v>C064</v>
      </c>
      <c r="D608" t="str" cm="1">
        <f t="array" aca="1" ref="D608" ca="1">INDEX(Products[Product ID],RANDBETWEEN(1,50))</f>
        <v>P008</v>
      </c>
      <c r="E608" t="str" cm="1">
        <f t="array" aca="1" ref="E608" ca="1">INDEX(Warehouses[Warehouse ID],RANDBETWEEN(1,8))</f>
        <v>W001</v>
      </c>
      <c r="F608">
        <f t="shared" ca="1" si="27"/>
        <v>6</v>
      </c>
      <c r="G608">
        <f ca="1">_xlfn.XLOOKUP(Orders[[#This Row],[Product ID]],Products[Product ID],Products[Selling Price])</f>
        <v>4200</v>
      </c>
      <c r="H608" s="6">
        <f t="shared" ca="1" si="28"/>
        <v>0.13</v>
      </c>
      <c r="I608">
        <f ca="1">Orders[[#This Row],[Quantity]]*Orders[[#This Row],[Unit Price]]*(1-Orders[[#This Row],[Discount%]])</f>
        <v>21924</v>
      </c>
      <c r="J608" t="str" cm="1">
        <f t="array" aca="1" ref="J608" ca="1">INDEX(PaymentMethods[Payment Method],RANDBETWEEN(1,5))</f>
        <v>Credit Card</v>
      </c>
    </row>
    <row r="609" spans="1:10" x14ac:dyDescent="0.3">
      <c r="A609" t="str">
        <f t="shared" si="29"/>
        <v>O0608</v>
      </c>
      <c r="B609" s="6">
        <f ca="1">Orders[[#This Row],[Discount%]]</f>
        <v>0.04</v>
      </c>
      <c r="C609" t="str" cm="1">
        <f t="array" aca="1" ref="C609" ca="1">INDEX(Customers[Customer ID],RANDBETWEEN(1,200))</f>
        <v>C126</v>
      </c>
      <c r="D609" t="str" cm="1">
        <f t="array" aca="1" ref="D609" ca="1">INDEX(Products[Product ID],RANDBETWEEN(1,50))</f>
        <v>P032</v>
      </c>
      <c r="E609" t="str" cm="1">
        <f t="array" aca="1" ref="E609" ca="1">INDEX(Warehouses[Warehouse ID],RANDBETWEEN(1,8))</f>
        <v>W006</v>
      </c>
      <c r="F609">
        <f t="shared" ca="1" si="27"/>
        <v>10</v>
      </c>
      <c r="G609">
        <f ca="1">_xlfn.XLOOKUP(Orders[[#This Row],[Product ID]],Products[Product ID],Products[Selling Price])</f>
        <v>220</v>
      </c>
      <c r="H609" s="6">
        <f t="shared" ca="1" si="28"/>
        <v>0.04</v>
      </c>
      <c r="I609">
        <f ca="1">Orders[[#This Row],[Quantity]]*Orders[[#This Row],[Unit Price]]*(1-Orders[[#This Row],[Discount%]])</f>
        <v>2112</v>
      </c>
      <c r="J609" t="str" cm="1">
        <f t="array" aca="1" ref="J609" ca="1">INDEX(PaymentMethods[Payment Method],RANDBETWEEN(1,5))</f>
        <v>Cash</v>
      </c>
    </row>
    <row r="610" spans="1:10" x14ac:dyDescent="0.3">
      <c r="A610" t="str">
        <f t="shared" si="29"/>
        <v>O0609</v>
      </c>
      <c r="B610" s="6">
        <f ca="1">Orders[[#This Row],[Discount%]]</f>
        <v>0.05</v>
      </c>
      <c r="C610" t="str" cm="1">
        <f t="array" aca="1" ref="C610" ca="1">INDEX(Customers[Customer ID],RANDBETWEEN(1,200))</f>
        <v>C061</v>
      </c>
      <c r="D610" t="str" cm="1">
        <f t="array" aca="1" ref="D610" ca="1">INDEX(Products[Product ID],RANDBETWEEN(1,50))</f>
        <v>P003</v>
      </c>
      <c r="E610" t="str" cm="1">
        <f t="array" aca="1" ref="E610" ca="1">INDEX(Warehouses[Warehouse ID],RANDBETWEEN(1,8))</f>
        <v>W005</v>
      </c>
      <c r="F610">
        <f t="shared" ca="1" si="27"/>
        <v>8</v>
      </c>
      <c r="G610">
        <f ca="1">_xlfn.XLOOKUP(Orders[[#This Row],[Product ID]],Products[Product ID],Products[Selling Price])</f>
        <v>900</v>
      </c>
      <c r="H610" s="6">
        <f t="shared" ca="1" si="28"/>
        <v>0.05</v>
      </c>
      <c r="I610">
        <f ca="1">Orders[[#This Row],[Quantity]]*Orders[[#This Row],[Unit Price]]*(1-Orders[[#This Row],[Discount%]])</f>
        <v>6840</v>
      </c>
      <c r="J610" t="str" cm="1">
        <f t="array" aca="1" ref="J610" ca="1">INDEX(PaymentMethods[Payment Method],RANDBETWEEN(1,5))</f>
        <v>Net Banking</v>
      </c>
    </row>
    <row r="611" spans="1:10" x14ac:dyDescent="0.3">
      <c r="A611" t="str">
        <f t="shared" si="29"/>
        <v>O0610</v>
      </c>
      <c r="B611" s="6">
        <f ca="1">Orders[[#This Row],[Discount%]]</f>
        <v>0.09</v>
      </c>
      <c r="C611" t="str" cm="1">
        <f t="array" aca="1" ref="C611" ca="1">INDEX(Customers[Customer ID],RANDBETWEEN(1,200))</f>
        <v>C039</v>
      </c>
      <c r="D611" t="str" cm="1">
        <f t="array" aca="1" ref="D611" ca="1">INDEX(Products[Product ID],RANDBETWEEN(1,50))</f>
        <v>P046</v>
      </c>
      <c r="E611" t="str" cm="1">
        <f t="array" aca="1" ref="E611" ca="1">INDEX(Warehouses[Warehouse ID],RANDBETWEEN(1,8))</f>
        <v>W001</v>
      </c>
      <c r="F611">
        <f t="shared" ca="1" si="27"/>
        <v>5</v>
      </c>
      <c r="G611">
        <f ca="1">_xlfn.XLOOKUP(Orders[[#This Row],[Product ID]],Products[Product ID],Products[Selling Price])</f>
        <v>2500</v>
      </c>
      <c r="H611" s="6">
        <f t="shared" ca="1" si="28"/>
        <v>0.09</v>
      </c>
      <c r="I611">
        <f ca="1">Orders[[#This Row],[Quantity]]*Orders[[#This Row],[Unit Price]]*(1-Orders[[#This Row],[Discount%]])</f>
        <v>11375</v>
      </c>
      <c r="J611" t="str" cm="1">
        <f t="array" aca="1" ref="J611" ca="1">INDEX(PaymentMethods[Payment Method],RANDBETWEEN(1,5))</f>
        <v>UPI</v>
      </c>
    </row>
    <row r="612" spans="1:10" x14ac:dyDescent="0.3">
      <c r="A612" t="str">
        <f t="shared" si="29"/>
        <v>O0611</v>
      </c>
      <c r="B612" s="6">
        <f ca="1">Orders[[#This Row],[Discount%]]</f>
        <v>0.18</v>
      </c>
      <c r="C612" t="str" cm="1">
        <f t="array" aca="1" ref="C612" ca="1">INDEX(Customers[Customer ID],RANDBETWEEN(1,200))</f>
        <v>C099</v>
      </c>
      <c r="D612" t="str" cm="1">
        <f t="array" aca="1" ref="D612" ca="1">INDEX(Products[Product ID],RANDBETWEEN(1,50))</f>
        <v>P019</v>
      </c>
      <c r="E612" t="str" cm="1">
        <f t="array" aca="1" ref="E612" ca="1">INDEX(Warehouses[Warehouse ID],RANDBETWEEN(1,8))</f>
        <v>W008</v>
      </c>
      <c r="F612">
        <f t="shared" ca="1" si="27"/>
        <v>10</v>
      </c>
      <c r="G612">
        <f ca="1">_xlfn.XLOOKUP(Orders[[#This Row],[Product ID]],Products[Product ID],Products[Selling Price])</f>
        <v>950</v>
      </c>
      <c r="H612" s="6">
        <f t="shared" ca="1" si="28"/>
        <v>0.18</v>
      </c>
      <c r="I612">
        <f ca="1">Orders[[#This Row],[Quantity]]*Orders[[#This Row],[Unit Price]]*(1-Orders[[#This Row],[Discount%]])</f>
        <v>7790.0000000000009</v>
      </c>
      <c r="J612" t="str" cm="1">
        <f t="array" aca="1" ref="J612" ca="1">INDEX(PaymentMethods[Payment Method],RANDBETWEEN(1,5))</f>
        <v>Cash</v>
      </c>
    </row>
    <row r="613" spans="1:10" x14ac:dyDescent="0.3">
      <c r="A613" t="str">
        <f t="shared" si="29"/>
        <v>O0612</v>
      </c>
      <c r="B613" s="6">
        <f ca="1">Orders[[#This Row],[Discount%]]</f>
        <v>0.03</v>
      </c>
      <c r="C613" t="str" cm="1">
        <f t="array" aca="1" ref="C613" ca="1">INDEX(Customers[Customer ID],RANDBETWEEN(1,200))</f>
        <v>C067</v>
      </c>
      <c r="D613" t="str" cm="1">
        <f t="array" aca="1" ref="D613" ca="1">INDEX(Products[Product ID],RANDBETWEEN(1,50))</f>
        <v>P041</v>
      </c>
      <c r="E613" t="str" cm="1">
        <f t="array" aca="1" ref="E613" ca="1">INDEX(Warehouses[Warehouse ID],RANDBETWEEN(1,8))</f>
        <v>W004</v>
      </c>
      <c r="F613">
        <f t="shared" ca="1" si="27"/>
        <v>7</v>
      </c>
      <c r="G613">
        <f ca="1">_xlfn.XLOOKUP(Orders[[#This Row],[Product ID]],Products[Product ID],Products[Selling Price])</f>
        <v>36000</v>
      </c>
      <c r="H613" s="6">
        <f t="shared" ca="1" si="28"/>
        <v>0.03</v>
      </c>
      <c r="I613">
        <f ca="1">Orders[[#This Row],[Quantity]]*Orders[[#This Row],[Unit Price]]*(1-Orders[[#This Row],[Discount%]])</f>
        <v>244440</v>
      </c>
      <c r="J613" t="str" cm="1">
        <f t="array" aca="1" ref="J613" ca="1">INDEX(PaymentMethods[Payment Method],RANDBETWEEN(1,5))</f>
        <v>Cash</v>
      </c>
    </row>
    <row r="614" spans="1:10" x14ac:dyDescent="0.3">
      <c r="A614" t="str">
        <f t="shared" si="29"/>
        <v>O0613</v>
      </c>
      <c r="B614" s="6">
        <f ca="1">Orders[[#This Row],[Discount%]]</f>
        <v>0.2</v>
      </c>
      <c r="C614" t="str" cm="1">
        <f t="array" aca="1" ref="C614" ca="1">INDEX(Customers[Customer ID],RANDBETWEEN(1,200))</f>
        <v>C157</v>
      </c>
      <c r="D614" t="str" cm="1">
        <f t="array" aca="1" ref="D614" ca="1">INDEX(Products[Product ID],RANDBETWEEN(1,50))</f>
        <v>P039</v>
      </c>
      <c r="E614" t="str" cm="1">
        <f t="array" aca="1" ref="E614" ca="1">INDEX(Warehouses[Warehouse ID],RANDBETWEEN(1,8))</f>
        <v>W002</v>
      </c>
      <c r="F614">
        <f t="shared" ca="1" si="27"/>
        <v>10</v>
      </c>
      <c r="G614">
        <f ca="1">_xlfn.XLOOKUP(Orders[[#This Row],[Product ID]],Products[Product ID],Products[Selling Price])</f>
        <v>250</v>
      </c>
      <c r="H614" s="6">
        <f t="shared" ca="1" si="28"/>
        <v>0.2</v>
      </c>
      <c r="I614">
        <f ca="1">Orders[[#This Row],[Quantity]]*Orders[[#This Row],[Unit Price]]*(1-Orders[[#This Row],[Discount%]])</f>
        <v>2000</v>
      </c>
      <c r="J614" t="str" cm="1">
        <f t="array" aca="1" ref="J614" ca="1">INDEX(PaymentMethods[Payment Method],RANDBETWEEN(1,5))</f>
        <v>Net Banking</v>
      </c>
    </row>
    <row r="615" spans="1:10" x14ac:dyDescent="0.3">
      <c r="A615" t="str">
        <f t="shared" si="29"/>
        <v>O0614</v>
      </c>
      <c r="B615" s="6">
        <f ca="1">Orders[[#This Row],[Discount%]]</f>
        <v>0.15</v>
      </c>
      <c r="C615" t="str" cm="1">
        <f t="array" aca="1" ref="C615" ca="1">INDEX(Customers[Customer ID],RANDBETWEEN(1,200))</f>
        <v>C108</v>
      </c>
      <c r="D615" t="str" cm="1">
        <f t="array" aca="1" ref="D615" ca="1">INDEX(Products[Product ID],RANDBETWEEN(1,50))</f>
        <v>P009</v>
      </c>
      <c r="E615" t="str" cm="1">
        <f t="array" aca="1" ref="E615" ca="1">INDEX(Warehouses[Warehouse ID],RANDBETWEEN(1,8))</f>
        <v>W006</v>
      </c>
      <c r="F615">
        <f t="shared" ca="1" si="27"/>
        <v>6</v>
      </c>
      <c r="G615">
        <f ca="1">_xlfn.XLOOKUP(Orders[[#This Row],[Product ID]],Products[Product ID],Products[Selling Price])</f>
        <v>20000</v>
      </c>
      <c r="H615" s="6">
        <f t="shared" ca="1" si="28"/>
        <v>0.15</v>
      </c>
      <c r="I615">
        <f ca="1">Orders[[#This Row],[Quantity]]*Orders[[#This Row],[Unit Price]]*(1-Orders[[#This Row],[Discount%]])</f>
        <v>102000</v>
      </c>
      <c r="J615" t="str" cm="1">
        <f t="array" aca="1" ref="J615" ca="1">INDEX(PaymentMethods[Payment Method],RANDBETWEEN(1,5))</f>
        <v>UPI</v>
      </c>
    </row>
    <row r="616" spans="1:10" x14ac:dyDescent="0.3">
      <c r="A616" t="str">
        <f t="shared" si="29"/>
        <v>O0615</v>
      </c>
      <c r="B616" s="6">
        <f ca="1">Orders[[#This Row],[Discount%]]</f>
        <v>0.02</v>
      </c>
      <c r="C616" t="str" cm="1">
        <f t="array" aca="1" ref="C616" ca="1">INDEX(Customers[Customer ID],RANDBETWEEN(1,200))</f>
        <v>C043</v>
      </c>
      <c r="D616" t="str" cm="1">
        <f t="array" aca="1" ref="D616" ca="1">INDEX(Products[Product ID],RANDBETWEEN(1,50))</f>
        <v>P002</v>
      </c>
      <c r="E616" t="str" cm="1">
        <f t="array" aca="1" ref="E616" ca="1">INDEX(Warehouses[Warehouse ID],RANDBETWEEN(1,8))</f>
        <v>W008</v>
      </c>
      <c r="F616">
        <f t="shared" ca="1" si="27"/>
        <v>10</v>
      </c>
      <c r="G616">
        <f ca="1">_xlfn.XLOOKUP(Orders[[#This Row],[Product ID]],Products[Product ID],Products[Selling Price])</f>
        <v>550</v>
      </c>
      <c r="H616" s="6">
        <f t="shared" ca="1" si="28"/>
        <v>0.02</v>
      </c>
      <c r="I616">
        <f ca="1">Orders[[#This Row],[Quantity]]*Orders[[#This Row],[Unit Price]]*(1-Orders[[#This Row],[Discount%]])</f>
        <v>5390</v>
      </c>
      <c r="J616" t="str" cm="1">
        <f t="array" aca="1" ref="J616" ca="1">INDEX(PaymentMethods[Payment Method],RANDBETWEEN(1,5))</f>
        <v>Credit Card</v>
      </c>
    </row>
    <row r="617" spans="1:10" x14ac:dyDescent="0.3">
      <c r="A617" t="str">
        <f t="shared" si="29"/>
        <v>O0616</v>
      </c>
      <c r="B617" s="6">
        <f ca="1">Orders[[#This Row],[Discount%]]</f>
        <v>0.09</v>
      </c>
      <c r="C617" t="str" cm="1">
        <f t="array" aca="1" ref="C617" ca="1">INDEX(Customers[Customer ID],RANDBETWEEN(1,200))</f>
        <v>C140</v>
      </c>
      <c r="D617" t="str" cm="1">
        <f t="array" aca="1" ref="D617" ca="1">INDEX(Products[Product ID],RANDBETWEEN(1,50))</f>
        <v>P025</v>
      </c>
      <c r="E617" t="str" cm="1">
        <f t="array" aca="1" ref="E617" ca="1">INDEX(Warehouses[Warehouse ID],RANDBETWEEN(1,8))</f>
        <v>W004</v>
      </c>
      <c r="F617">
        <f t="shared" ca="1" si="27"/>
        <v>7</v>
      </c>
      <c r="G617">
        <f ca="1">_xlfn.XLOOKUP(Orders[[#This Row],[Product ID]],Products[Product ID],Products[Selling Price])</f>
        <v>1800</v>
      </c>
      <c r="H617" s="6">
        <f t="shared" ca="1" si="28"/>
        <v>0.09</v>
      </c>
      <c r="I617">
        <f ca="1">Orders[[#This Row],[Quantity]]*Orders[[#This Row],[Unit Price]]*(1-Orders[[#This Row],[Discount%]])</f>
        <v>11466</v>
      </c>
      <c r="J617" t="str" cm="1">
        <f t="array" aca="1" ref="J617" ca="1">INDEX(PaymentMethods[Payment Method],RANDBETWEEN(1,5))</f>
        <v>Cash</v>
      </c>
    </row>
    <row r="618" spans="1:10" x14ac:dyDescent="0.3">
      <c r="A618" t="str">
        <f t="shared" si="29"/>
        <v>O0617</v>
      </c>
      <c r="B618" s="6">
        <f ca="1">Orders[[#This Row],[Discount%]]</f>
        <v>0.18</v>
      </c>
      <c r="C618" t="str" cm="1">
        <f t="array" aca="1" ref="C618" ca="1">INDEX(Customers[Customer ID],RANDBETWEEN(1,200))</f>
        <v>C199</v>
      </c>
      <c r="D618" t="str" cm="1">
        <f t="array" aca="1" ref="D618" ca="1">INDEX(Products[Product ID],RANDBETWEEN(1,50))</f>
        <v>P049</v>
      </c>
      <c r="E618" t="str" cm="1">
        <f t="array" aca="1" ref="E618" ca="1">INDEX(Warehouses[Warehouse ID],RANDBETWEEN(1,8))</f>
        <v>W005</v>
      </c>
      <c r="F618">
        <f t="shared" ca="1" si="27"/>
        <v>4</v>
      </c>
      <c r="G618">
        <f ca="1">_xlfn.XLOOKUP(Orders[[#This Row],[Product ID]],Products[Product ID],Products[Selling Price])</f>
        <v>3800</v>
      </c>
      <c r="H618" s="6">
        <f t="shared" ca="1" si="28"/>
        <v>0.18</v>
      </c>
      <c r="I618">
        <f ca="1">Orders[[#This Row],[Quantity]]*Orders[[#This Row],[Unit Price]]*(1-Orders[[#This Row],[Discount%]])</f>
        <v>12464.000000000002</v>
      </c>
      <c r="J618" t="str" cm="1">
        <f t="array" aca="1" ref="J618" ca="1">INDEX(PaymentMethods[Payment Method],RANDBETWEEN(1,5))</f>
        <v>Cash</v>
      </c>
    </row>
    <row r="619" spans="1:10" x14ac:dyDescent="0.3">
      <c r="A619" t="str">
        <f t="shared" si="29"/>
        <v>O0618</v>
      </c>
      <c r="B619" s="6">
        <f ca="1">Orders[[#This Row],[Discount%]]</f>
        <v>7.0000000000000007E-2</v>
      </c>
      <c r="C619" t="str" cm="1">
        <f t="array" aca="1" ref="C619" ca="1">INDEX(Customers[Customer ID],RANDBETWEEN(1,200))</f>
        <v>C002</v>
      </c>
      <c r="D619" t="str" cm="1">
        <f t="array" aca="1" ref="D619" ca="1">INDEX(Products[Product ID],RANDBETWEEN(1,50))</f>
        <v>P039</v>
      </c>
      <c r="E619" t="str" cm="1">
        <f t="array" aca="1" ref="E619" ca="1">INDEX(Warehouses[Warehouse ID],RANDBETWEEN(1,8))</f>
        <v>W002</v>
      </c>
      <c r="F619">
        <f t="shared" ca="1" si="27"/>
        <v>9</v>
      </c>
      <c r="G619">
        <f ca="1">_xlfn.XLOOKUP(Orders[[#This Row],[Product ID]],Products[Product ID],Products[Selling Price])</f>
        <v>250</v>
      </c>
      <c r="H619" s="6">
        <f t="shared" ca="1" si="28"/>
        <v>7.0000000000000007E-2</v>
      </c>
      <c r="I619">
        <f ca="1">Orders[[#This Row],[Quantity]]*Orders[[#This Row],[Unit Price]]*(1-Orders[[#This Row],[Discount%]])</f>
        <v>2092.5</v>
      </c>
      <c r="J619" t="str" cm="1">
        <f t="array" aca="1" ref="J619" ca="1">INDEX(PaymentMethods[Payment Method],RANDBETWEEN(1,5))</f>
        <v>Debit Card</v>
      </c>
    </row>
    <row r="620" spans="1:10" x14ac:dyDescent="0.3">
      <c r="A620" t="str">
        <f t="shared" si="29"/>
        <v>O0619</v>
      </c>
      <c r="B620" s="6">
        <f ca="1">Orders[[#This Row],[Discount%]]</f>
        <v>0.09</v>
      </c>
      <c r="C620" t="str" cm="1">
        <f t="array" aca="1" ref="C620" ca="1">INDEX(Customers[Customer ID],RANDBETWEEN(1,200))</f>
        <v>C066</v>
      </c>
      <c r="D620" t="str" cm="1">
        <f t="array" aca="1" ref="D620" ca="1">INDEX(Products[Product ID],RANDBETWEEN(1,50))</f>
        <v>P043</v>
      </c>
      <c r="E620" t="str" cm="1">
        <f t="array" aca="1" ref="E620" ca="1">INDEX(Warehouses[Warehouse ID],RANDBETWEEN(1,8))</f>
        <v>W001</v>
      </c>
      <c r="F620">
        <f t="shared" ca="1" si="27"/>
        <v>10</v>
      </c>
      <c r="G620">
        <f ca="1">_xlfn.XLOOKUP(Orders[[#This Row],[Product ID]],Products[Product ID],Products[Selling Price])</f>
        <v>24500</v>
      </c>
      <c r="H620" s="6">
        <f t="shared" ca="1" si="28"/>
        <v>0.09</v>
      </c>
      <c r="I620">
        <f ca="1">Orders[[#This Row],[Quantity]]*Orders[[#This Row],[Unit Price]]*(1-Orders[[#This Row],[Discount%]])</f>
        <v>222950</v>
      </c>
      <c r="J620" t="str" cm="1">
        <f t="array" aca="1" ref="J620" ca="1">INDEX(PaymentMethods[Payment Method],RANDBETWEEN(1,5))</f>
        <v>UPI</v>
      </c>
    </row>
    <row r="621" spans="1:10" x14ac:dyDescent="0.3">
      <c r="A621" t="str">
        <f t="shared" si="29"/>
        <v>O0620</v>
      </c>
      <c r="B621" s="6">
        <f ca="1">Orders[[#This Row],[Discount%]]</f>
        <v>0.18</v>
      </c>
      <c r="C621" t="str" cm="1">
        <f t="array" aca="1" ref="C621" ca="1">INDEX(Customers[Customer ID],RANDBETWEEN(1,200))</f>
        <v>C011</v>
      </c>
      <c r="D621" t="str" cm="1">
        <f t="array" aca="1" ref="D621" ca="1">INDEX(Products[Product ID],RANDBETWEEN(1,50))</f>
        <v>P048</v>
      </c>
      <c r="E621" t="str" cm="1">
        <f t="array" aca="1" ref="E621" ca="1">INDEX(Warehouses[Warehouse ID],RANDBETWEEN(1,8))</f>
        <v>W005</v>
      </c>
      <c r="F621">
        <f t="shared" ca="1" si="27"/>
        <v>1</v>
      </c>
      <c r="G621">
        <f ca="1">_xlfn.XLOOKUP(Orders[[#This Row],[Product ID]],Products[Product ID],Products[Selling Price])</f>
        <v>1200</v>
      </c>
      <c r="H621" s="6">
        <f t="shared" ca="1" si="28"/>
        <v>0.18</v>
      </c>
      <c r="I621">
        <f ca="1">Orders[[#This Row],[Quantity]]*Orders[[#This Row],[Unit Price]]*(1-Orders[[#This Row],[Discount%]])</f>
        <v>984.00000000000011</v>
      </c>
      <c r="J621" t="str" cm="1">
        <f t="array" aca="1" ref="J621" ca="1">INDEX(PaymentMethods[Payment Method],RANDBETWEEN(1,5))</f>
        <v>Cash</v>
      </c>
    </row>
    <row r="622" spans="1:10" x14ac:dyDescent="0.3">
      <c r="A622" t="str">
        <f t="shared" si="29"/>
        <v>O0621</v>
      </c>
      <c r="B622" s="6">
        <f ca="1">Orders[[#This Row],[Discount%]]</f>
        <v>0</v>
      </c>
      <c r="C622" t="str" cm="1">
        <f t="array" aca="1" ref="C622" ca="1">INDEX(Customers[Customer ID],RANDBETWEEN(1,200))</f>
        <v>C024</v>
      </c>
      <c r="D622" t="str" cm="1">
        <f t="array" aca="1" ref="D622" ca="1">INDEX(Products[Product ID],RANDBETWEEN(1,50))</f>
        <v>P039</v>
      </c>
      <c r="E622" t="str" cm="1">
        <f t="array" aca="1" ref="E622" ca="1">INDEX(Warehouses[Warehouse ID],RANDBETWEEN(1,8))</f>
        <v>W003</v>
      </c>
      <c r="F622">
        <f t="shared" ca="1" si="27"/>
        <v>7</v>
      </c>
      <c r="G622">
        <f ca="1">_xlfn.XLOOKUP(Orders[[#This Row],[Product ID]],Products[Product ID],Products[Selling Price])</f>
        <v>250</v>
      </c>
      <c r="H622" s="6">
        <f t="shared" ca="1" si="28"/>
        <v>0</v>
      </c>
      <c r="I622">
        <f ca="1">Orders[[#This Row],[Quantity]]*Orders[[#This Row],[Unit Price]]*(1-Orders[[#This Row],[Discount%]])</f>
        <v>1750</v>
      </c>
      <c r="J622" t="str" cm="1">
        <f t="array" aca="1" ref="J622" ca="1">INDEX(PaymentMethods[Payment Method],RANDBETWEEN(1,5))</f>
        <v>Credit Card</v>
      </c>
    </row>
    <row r="623" spans="1:10" x14ac:dyDescent="0.3">
      <c r="A623" t="str">
        <f t="shared" si="29"/>
        <v>O0622</v>
      </c>
      <c r="B623" s="6">
        <f ca="1">Orders[[#This Row],[Discount%]]</f>
        <v>0.02</v>
      </c>
      <c r="C623" t="str" cm="1">
        <f t="array" aca="1" ref="C623" ca="1">INDEX(Customers[Customer ID],RANDBETWEEN(1,200))</f>
        <v>C194</v>
      </c>
      <c r="D623" t="str" cm="1">
        <f t="array" aca="1" ref="D623" ca="1">INDEX(Products[Product ID],RANDBETWEEN(1,50))</f>
        <v>P001</v>
      </c>
      <c r="E623" t="str" cm="1">
        <f t="array" aca="1" ref="E623" ca="1">INDEX(Warehouses[Warehouse ID],RANDBETWEEN(1,8))</f>
        <v>W002</v>
      </c>
      <c r="F623">
        <f t="shared" ca="1" si="27"/>
        <v>4</v>
      </c>
      <c r="G623">
        <f ca="1">_xlfn.XLOOKUP(Orders[[#This Row],[Product ID]],Products[Product ID],Products[Selling Price])</f>
        <v>42000</v>
      </c>
      <c r="H623" s="6">
        <f t="shared" ca="1" si="28"/>
        <v>0.02</v>
      </c>
      <c r="I623">
        <f ca="1">Orders[[#This Row],[Quantity]]*Orders[[#This Row],[Unit Price]]*(1-Orders[[#This Row],[Discount%]])</f>
        <v>164640</v>
      </c>
      <c r="J623" t="str" cm="1">
        <f t="array" aca="1" ref="J623" ca="1">INDEX(PaymentMethods[Payment Method],RANDBETWEEN(1,5))</f>
        <v>Debit Card</v>
      </c>
    </row>
    <row r="624" spans="1:10" x14ac:dyDescent="0.3">
      <c r="A624" t="str">
        <f t="shared" si="29"/>
        <v>O0623</v>
      </c>
      <c r="B624" s="6">
        <f ca="1">Orders[[#This Row],[Discount%]]</f>
        <v>0.14000000000000001</v>
      </c>
      <c r="C624" t="str" cm="1">
        <f t="array" aca="1" ref="C624" ca="1">INDEX(Customers[Customer ID],RANDBETWEEN(1,200))</f>
        <v>C075</v>
      </c>
      <c r="D624" t="str" cm="1">
        <f t="array" aca="1" ref="D624" ca="1">INDEX(Products[Product ID],RANDBETWEEN(1,50))</f>
        <v>P008</v>
      </c>
      <c r="E624" t="str" cm="1">
        <f t="array" aca="1" ref="E624" ca="1">INDEX(Warehouses[Warehouse ID],RANDBETWEEN(1,8))</f>
        <v>W007</v>
      </c>
      <c r="F624">
        <f t="shared" ca="1" si="27"/>
        <v>2</v>
      </c>
      <c r="G624">
        <f ca="1">_xlfn.XLOOKUP(Orders[[#This Row],[Product ID]],Products[Product ID],Products[Selling Price])</f>
        <v>4200</v>
      </c>
      <c r="H624" s="6">
        <f t="shared" ca="1" si="28"/>
        <v>0.14000000000000001</v>
      </c>
      <c r="I624">
        <f ca="1">Orders[[#This Row],[Quantity]]*Orders[[#This Row],[Unit Price]]*(1-Orders[[#This Row],[Discount%]])</f>
        <v>7224</v>
      </c>
      <c r="J624" t="str" cm="1">
        <f t="array" aca="1" ref="J624" ca="1">INDEX(PaymentMethods[Payment Method],RANDBETWEEN(1,5))</f>
        <v>Net Banking</v>
      </c>
    </row>
    <row r="625" spans="1:10" x14ac:dyDescent="0.3">
      <c r="A625" t="str">
        <f t="shared" si="29"/>
        <v>O0624</v>
      </c>
      <c r="B625" s="6">
        <f ca="1">Orders[[#This Row],[Discount%]]</f>
        <v>0.03</v>
      </c>
      <c r="C625" t="str" cm="1">
        <f t="array" aca="1" ref="C625" ca="1">INDEX(Customers[Customer ID],RANDBETWEEN(1,200))</f>
        <v>C065</v>
      </c>
      <c r="D625" t="str" cm="1">
        <f t="array" aca="1" ref="D625" ca="1">INDEX(Products[Product ID],RANDBETWEEN(1,50))</f>
        <v>P023</v>
      </c>
      <c r="E625" t="str" cm="1">
        <f t="array" aca="1" ref="E625" ca="1">INDEX(Warehouses[Warehouse ID],RANDBETWEEN(1,8))</f>
        <v>W002</v>
      </c>
      <c r="F625">
        <f t="shared" ca="1" si="27"/>
        <v>8</v>
      </c>
      <c r="G625">
        <f ca="1">_xlfn.XLOOKUP(Orders[[#This Row],[Product ID]],Products[Product ID],Products[Selling Price])</f>
        <v>2300</v>
      </c>
      <c r="H625" s="6">
        <f t="shared" ca="1" si="28"/>
        <v>0.03</v>
      </c>
      <c r="I625">
        <f ca="1">Orders[[#This Row],[Quantity]]*Orders[[#This Row],[Unit Price]]*(1-Orders[[#This Row],[Discount%]])</f>
        <v>17848</v>
      </c>
      <c r="J625" t="str" cm="1">
        <f t="array" aca="1" ref="J625" ca="1">INDEX(PaymentMethods[Payment Method],RANDBETWEEN(1,5))</f>
        <v>UPI</v>
      </c>
    </row>
    <row r="626" spans="1:10" x14ac:dyDescent="0.3">
      <c r="A626" t="str">
        <f t="shared" si="29"/>
        <v>O0625</v>
      </c>
      <c r="B626" s="6">
        <f ca="1">Orders[[#This Row],[Discount%]]</f>
        <v>0</v>
      </c>
      <c r="C626" t="str" cm="1">
        <f t="array" aca="1" ref="C626" ca="1">INDEX(Customers[Customer ID],RANDBETWEEN(1,200))</f>
        <v>C003</v>
      </c>
      <c r="D626" t="str" cm="1">
        <f t="array" aca="1" ref="D626" ca="1">INDEX(Products[Product ID],RANDBETWEEN(1,50))</f>
        <v>P008</v>
      </c>
      <c r="E626" t="str" cm="1">
        <f t="array" aca="1" ref="E626" ca="1">INDEX(Warehouses[Warehouse ID],RANDBETWEEN(1,8))</f>
        <v>W003</v>
      </c>
      <c r="F626">
        <f t="shared" ca="1" si="27"/>
        <v>8</v>
      </c>
      <c r="G626">
        <f ca="1">_xlfn.XLOOKUP(Orders[[#This Row],[Product ID]],Products[Product ID],Products[Selling Price])</f>
        <v>4200</v>
      </c>
      <c r="H626" s="6">
        <f t="shared" ca="1" si="28"/>
        <v>0</v>
      </c>
      <c r="I626">
        <f ca="1">Orders[[#This Row],[Quantity]]*Orders[[#This Row],[Unit Price]]*(1-Orders[[#This Row],[Discount%]])</f>
        <v>33600</v>
      </c>
      <c r="J626" t="str" cm="1">
        <f t="array" aca="1" ref="J626" ca="1">INDEX(PaymentMethods[Payment Method],RANDBETWEEN(1,5))</f>
        <v>Credit Card</v>
      </c>
    </row>
    <row r="627" spans="1:10" x14ac:dyDescent="0.3">
      <c r="A627" t="str">
        <f t="shared" si="29"/>
        <v>O0626</v>
      </c>
      <c r="B627" s="6">
        <f ca="1">Orders[[#This Row],[Discount%]]</f>
        <v>0.08</v>
      </c>
      <c r="C627" t="str" cm="1">
        <f t="array" aca="1" ref="C627" ca="1">INDEX(Customers[Customer ID],RANDBETWEEN(1,200))</f>
        <v>C047</v>
      </c>
      <c r="D627" t="str" cm="1">
        <f t="array" aca="1" ref="D627" ca="1">INDEX(Products[Product ID],RANDBETWEEN(1,50))</f>
        <v>P009</v>
      </c>
      <c r="E627" t="str" cm="1">
        <f t="array" aca="1" ref="E627" ca="1">INDEX(Warehouses[Warehouse ID],RANDBETWEEN(1,8))</f>
        <v>W004</v>
      </c>
      <c r="F627">
        <f t="shared" ca="1" si="27"/>
        <v>5</v>
      </c>
      <c r="G627">
        <f ca="1">_xlfn.XLOOKUP(Orders[[#This Row],[Product ID]],Products[Product ID],Products[Selling Price])</f>
        <v>20000</v>
      </c>
      <c r="H627" s="6">
        <f t="shared" ca="1" si="28"/>
        <v>0.08</v>
      </c>
      <c r="I627">
        <f ca="1">Orders[[#This Row],[Quantity]]*Orders[[#This Row],[Unit Price]]*(1-Orders[[#This Row],[Discount%]])</f>
        <v>92000</v>
      </c>
      <c r="J627" t="str" cm="1">
        <f t="array" aca="1" ref="J627" ca="1">INDEX(PaymentMethods[Payment Method],RANDBETWEEN(1,5))</f>
        <v>UPI</v>
      </c>
    </row>
    <row r="628" spans="1:10" x14ac:dyDescent="0.3">
      <c r="A628" t="str">
        <f t="shared" si="29"/>
        <v>O0627</v>
      </c>
      <c r="B628" s="6">
        <f ca="1">Orders[[#This Row],[Discount%]]</f>
        <v>0.19</v>
      </c>
      <c r="C628" t="str" cm="1">
        <f t="array" aca="1" ref="C628" ca="1">INDEX(Customers[Customer ID],RANDBETWEEN(1,200))</f>
        <v>C180</v>
      </c>
      <c r="D628" t="str" cm="1">
        <f t="array" aca="1" ref="D628" ca="1">INDEX(Products[Product ID],RANDBETWEEN(1,50))</f>
        <v>P008</v>
      </c>
      <c r="E628" t="str" cm="1">
        <f t="array" aca="1" ref="E628" ca="1">INDEX(Warehouses[Warehouse ID],RANDBETWEEN(1,8))</f>
        <v>W006</v>
      </c>
      <c r="F628">
        <f t="shared" ca="1" si="27"/>
        <v>5</v>
      </c>
      <c r="G628">
        <f ca="1">_xlfn.XLOOKUP(Orders[[#This Row],[Product ID]],Products[Product ID],Products[Selling Price])</f>
        <v>4200</v>
      </c>
      <c r="H628" s="6">
        <f t="shared" ca="1" si="28"/>
        <v>0.19</v>
      </c>
      <c r="I628">
        <f ca="1">Orders[[#This Row],[Quantity]]*Orders[[#This Row],[Unit Price]]*(1-Orders[[#This Row],[Discount%]])</f>
        <v>17010</v>
      </c>
      <c r="J628" t="str" cm="1">
        <f t="array" aca="1" ref="J628" ca="1">INDEX(PaymentMethods[Payment Method],RANDBETWEEN(1,5))</f>
        <v>UPI</v>
      </c>
    </row>
    <row r="629" spans="1:10" x14ac:dyDescent="0.3">
      <c r="A629" t="str">
        <f t="shared" si="29"/>
        <v>O0628</v>
      </c>
      <c r="B629" s="6">
        <f ca="1">Orders[[#This Row],[Discount%]]</f>
        <v>0.05</v>
      </c>
      <c r="C629" t="str" cm="1">
        <f t="array" aca="1" ref="C629" ca="1">INDEX(Customers[Customer ID],RANDBETWEEN(1,200))</f>
        <v>C153</v>
      </c>
      <c r="D629" t="str" cm="1">
        <f t="array" aca="1" ref="D629" ca="1">INDEX(Products[Product ID],RANDBETWEEN(1,50))</f>
        <v>P019</v>
      </c>
      <c r="E629" t="str" cm="1">
        <f t="array" aca="1" ref="E629" ca="1">INDEX(Warehouses[Warehouse ID],RANDBETWEEN(1,8))</f>
        <v>W006</v>
      </c>
      <c r="F629">
        <f t="shared" ca="1" si="27"/>
        <v>10</v>
      </c>
      <c r="G629">
        <f ca="1">_xlfn.XLOOKUP(Orders[[#This Row],[Product ID]],Products[Product ID],Products[Selling Price])</f>
        <v>950</v>
      </c>
      <c r="H629" s="6">
        <f t="shared" ca="1" si="28"/>
        <v>0.05</v>
      </c>
      <c r="I629">
        <f ca="1">Orders[[#This Row],[Quantity]]*Orders[[#This Row],[Unit Price]]*(1-Orders[[#This Row],[Discount%]])</f>
        <v>9025</v>
      </c>
      <c r="J629" t="str" cm="1">
        <f t="array" aca="1" ref="J629" ca="1">INDEX(PaymentMethods[Payment Method],RANDBETWEEN(1,5))</f>
        <v>Credit Card</v>
      </c>
    </row>
    <row r="630" spans="1:10" x14ac:dyDescent="0.3">
      <c r="A630" t="str">
        <f t="shared" si="29"/>
        <v>O0629</v>
      </c>
      <c r="B630" s="6">
        <f ca="1">Orders[[#This Row],[Discount%]]</f>
        <v>0.1</v>
      </c>
      <c r="C630" t="str" cm="1">
        <f t="array" aca="1" ref="C630" ca="1">INDEX(Customers[Customer ID],RANDBETWEEN(1,200))</f>
        <v>C140</v>
      </c>
      <c r="D630" t="str" cm="1">
        <f t="array" aca="1" ref="D630" ca="1">INDEX(Products[Product ID],RANDBETWEEN(1,50))</f>
        <v>P016</v>
      </c>
      <c r="E630" t="str" cm="1">
        <f t="array" aca="1" ref="E630" ca="1">INDEX(Warehouses[Warehouse ID],RANDBETWEEN(1,8))</f>
        <v>W006</v>
      </c>
      <c r="F630">
        <f t="shared" ca="1" si="27"/>
        <v>1</v>
      </c>
      <c r="G630">
        <f ca="1">_xlfn.XLOOKUP(Orders[[#This Row],[Product ID]],Products[Product ID],Products[Selling Price])</f>
        <v>2500</v>
      </c>
      <c r="H630" s="6">
        <f t="shared" ca="1" si="28"/>
        <v>0.1</v>
      </c>
      <c r="I630">
        <f ca="1">Orders[[#This Row],[Quantity]]*Orders[[#This Row],[Unit Price]]*(1-Orders[[#This Row],[Discount%]])</f>
        <v>2250</v>
      </c>
      <c r="J630" t="str" cm="1">
        <f t="array" aca="1" ref="J630" ca="1">INDEX(PaymentMethods[Payment Method],RANDBETWEEN(1,5))</f>
        <v>Credit Card</v>
      </c>
    </row>
    <row r="631" spans="1:10" x14ac:dyDescent="0.3">
      <c r="A631" t="str">
        <f t="shared" si="29"/>
        <v>O0630</v>
      </c>
      <c r="B631" s="6">
        <f ca="1">Orders[[#This Row],[Discount%]]</f>
        <v>0.03</v>
      </c>
      <c r="C631" t="str" cm="1">
        <f t="array" aca="1" ref="C631" ca="1">INDEX(Customers[Customer ID],RANDBETWEEN(1,200))</f>
        <v>C071</v>
      </c>
      <c r="D631" t="str" cm="1">
        <f t="array" aca="1" ref="D631" ca="1">INDEX(Products[Product ID],RANDBETWEEN(1,50))</f>
        <v>P024</v>
      </c>
      <c r="E631" t="str" cm="1">
        <f t="array" aca="1" ref="E631" ca="1">INDEX(Warehouses[Warehouse ID],RANDBETWEEN(1,8))</f>
        <v>W001</v>
      </c>
      <c r="F631">
        <f t="shared" ca="1" si="27"/>
        <v>4</v>
      </c>
      <c r="G631">
        <f ca="1">_xlfn.XLOOKUP(Orders[[#This Row],[Product ID]],Products[Product ID],Products[Selling Price])</f>
        <v>1700</v>
      </c>
      <c r="H631" s="6">
        <f t="shared" ca="1" si="28"/>
        <v>0.03</v>
      </c>
      <c r="I631">
        <f ca="1">Orders[[#This Row],[Quantity]]*Orders[[#This Row],[Unit Price]]*(1-Orders[[#This Row],[Discount%]])</f>
        <v>6596</v>
      </c>
      <c r="J631" t="str" cm="1">
        <f t="array" aca="1" ref="J631" ca="1">INDEX(PaymentMethods[Payment Method],RANDBETWEEN(1,5))</f>
        <v>Net Banking</v>
      </c>
    </row>
    <row r="632" spans="1:10" x14ac:dyDescent="0.3">
      <c r="A632" t="str">
        <f t="shared" si="29"/>
        <v>O0631</v>
      </c>
      <c r="B632" s="6">
        <f ca="1">Orders[[#This Row],[Discount%]]</f>
        <v>0</v>
      </c>
      <c r="C632" t="str" cm="1">
        <f t="array" aca="1" ref="C632" ca="1">INDEX(Customers[Customer ID],RANDBETWEEN(1,200))</f>
        <v>C021</v>
      </c>
      <c r="D632" t="str" cm="1">
        <f t="array" aca="1" ref="D632" ca="1">INDEX(Products[Product ID],RANDBETWEEN(1,50))</f>
        <v>P024</v>
      </c>
      <c r="E632" t="str" cm="1">
        <f t="array" aca="1" ref="E632" ca="1">INDEX(Warehouses[Warehouse ID],RANDBETWEEN(1,8))</f>
        <v>W003</v>
      </c>
      <c r="F632">
        <f t="shared" ca="1" si="27"/>
        <v>1</v>
      </c>
      <c r="G632">
        <f ca="1">_xlfn.XLOOKUP(Orders[[#This Row],[Product ID]],Products[Product ID],Products[Selling Price])</f>
        <v>1700</v>
      </c>
      <c r="H632" s="6">
        <f t="shared" ca="1" si="28"/>
        <v>0</v>
      </c>
      <c r="I632">
        <f ca="1">Orders[[#This Row],[Quantity]]*Orders[[#This Row],[Unit Price]]*(1-Orders[[#This Row],[Discount%]])</f>
        <v>1700</v>
      </c>
      <c r="J632" t="str" cm="1">
        <f t="array" aca="1" ref="J632" ca="1">INDEX(PaymentMethods[Payment Method],RANDBETWEEN(1,5))</f>
        <v>Debit Card</v>
      </c>
    </row>
    <row r="633" spans="1:10" x14ac:dyDescent="0.3">
      <c r="A633" t="str">
        <f t="shared" si="29"/>
        <v>O0632</v>
      </c>
      <c r="B633" s="6">
        <f ca="1">Orders[[#This Row],[Discount%]]</f>
        <v>0.03</v>
      </c>
      <c r="C633" t="str" cm="1">
        <f t="array" aca="1" ref="C633" ca="1">INDEX(Customers[Customer ID],RANDBETWEEN(1,200))</f>
        <v>C185</v>
      </c>
      <c r="D633" t="str" cm="1">
        <f t="array" aca="1" ref="D633" ca="1">INDEX(Products[Product ID],RANDBETWEEN(1,50))</f>
        <v>P003</v>
      </c>
      <c r="E633" t="str" cm="1">
        <f t="array" aca="1" ref="E633" ca="1">INDEX(Warehouses[Warehouse ID],RANDBETWEEN(1,8))</f>
        <v>W008</v>
      </c>
      <c r="F633">
        <f t="shared" ca="1" si="27"/>
        <v>5</v>
      </c>
      <c r="G633">
        <f ca="1">_xlfn.XLOOKUP(Orders[[#This Row],[Product ID]],Products[Product ID],Products[Selling Price])</f>
        <v>900</v>
      </c>
      <c r="H633" s="6">
        <f t="shared" ca="1" si="28"/>
        <v>0.03</v>
      </c>
      <c r="I633">
        <f ca="1">Orders[[#This Row],[Quantity]]*Orders[[#This Row],[Unit Price]]*(1-Orders[[#This Row],[Discount%]])</f>
        <v>4365</v>
      </c>
      <c r="J633" t="str" cm="1">
        <f t="array" aca="1" ref="J633" ca="1">INDEX(PaymentMethods[Payment Method],RANDBETWEEN(1,5))</f>
        <v>Credit Card</v>
      </c>
    </row>
    <row r="634" spans="1:10" x14ac:dyDescent="0.3">
      <c r="A634" t="str">
        <f t="shared" si="29"/>
        <v>O0633</v>
      </c>
      <c r="B634" s="6">
        <f ca="1">Orders[[#This Row],[Discount%]]</f>
        <v>0.17</v>
      </c>
      <c r="C634" t="str" cm="1">
        <f t="array" aca="1" ref="C634" ca="1">INDEX(Customers[Customer ID],RANDBETWEEN(1,200))</f>
        <v>C058</v>
      </c>
      <c r="D634" t="str" cm="1">
        <f t="array" aca="1" ref="D634" ca="1">INDEX(Products[Product ID],RANDBETWEEN(1,50))</f>
        <v>P040</v>
      </c>
      <c r="E634" t="str" cm="1">
        <f t="array" aca="1" ref="E634" ca="1">INDEX(Warehouses[Warehouse ID],RANDBETWEEN(1,8))</f>
        <v>W002</v>
      </c>
      <c r="F634">
        <f t="shared" ca="1" si="27"/>
        <v>4</v>
      </c>
      <c r="G634">
        <f ca="1">_xlfn.XLOOKUP(Orders[[#This Row],[Product ID]],Products[Product ID],Products[Selling Price])</f>
        <v>180</v>
      </c>
      <c r="H634" s="6">
        <f t="shared" ca="1" si="28"/>
        <v>0.17</v>
      </c>
      <c r="I634">
        <f ca="1">Orders[[#This Row],[Quantity]]*Orders[[#This Row],[Unit Price]]*(1-Orders[[#This Row],[Discount%]])</f>
        <v>597.6</v>
      </c>
      <c r="J634" t="str" cm="1">
        <f t="array" aca="1" ref="J634" ca="1">INDEX(PaymentMethods[Payment Method],RANDBETWEEN(1,5))</f>
        <v>Credit Card</v>
      </c>
    </row>
    <row r="635" spans="1:10" x14ac:dyDescent="0.3">
      <c r="A635" t="str">
        <f t="shared" si="29"/>
        <v>O0634</v>
      </c>
      <c r="B635" s="6">
        <f ca="1">Orders[[#This Row],[Discount%]]</f>
        <v>0.02</v>
      </c>
      <c r="C635" t="str" cm="1">
        <f t="array" aca="1" ref="C635" ca="1">INDEX(Customers[Customer ID],RANDBETWEEN(1,200))</f>
        <v>C020</v>
      </c>
      <c r="D635" t="str" cm="1">
        <f t="array" aca="1" ref="D635" ca="1">INDEX(Products[Product ID],RANDBETWEEN(1,50))</f>
        <v>P004</v>
      </c>
      <c r="E635" t="str" cm="1">
        <f t="array" aca="1" ref="E635" ca="1">INDEX(Warehouses[Warehouse ID],RANDBETWEEN(1,8))</f>
        <v>W005</v>
      </c>
      <c r="F635">
        <f t="shared" ca="1" si="27"/>
        <v>10</v>
      </c>
      <c r="G635">
        <f ca="1">_xlfn.XLOOKUP(Orders[[#This Row],[Product ID]],Products[Product ID],Products[Selling Price])</f>
        <v>9000</v>
      </c>
      <c r="H635" s="6">
        <f t="shared" ca="1" si="28"/>
        <v>0.02</v>
      </c>
      <c r="I635">
        <f ca="1">Orders[[#This Row],[Quantity]]*Orders[[#This Row],[Unit Price]]*(1-Orders[[#This Row],[Discount%]])</f>
        <v>88200</v>
      </c>
      <c r="J635" t="str" cm="1">
        <f t="array" aca="1" ref="J635" ca="1">INDEX(PaymentMethods[Payment Method],RANDBETWEEN(1,5))</f>
        <v>Cash</v>
      </c>
    </row>
    <row r="636" spans="1:10" x14ac:dyDescent="0.3">
      <c r="A636" t="str">
        <f t="shared" si="29"/>
        <v>O0635</v>
      </c>
      <c r="B636" s="6">
        <f ca="1">Orders[[#This Row],[Discount%]]</f>
        <v>0.18</v>
      </c>
      <c r="C636" t="str" cm="1">
        <f t="array" aca="1" ref="C636" ca="1">INDEX(Customers[Customer ID],RANDBETWEEN(1,200))</f>
        <v>C048</v>
      </c>
      <c r="D636" t="str" cm="1">
        <f t="array" aca="1" ref="D636" ca="1">INDEX(Products[Product ID],RANDBETWEEN(1,50))</f>
        <v>P041</v>
      </c>
      <c r="E636" t="str" cm="1">
        <f t="array" aca="1" ref="E636" ca="1">INDEX(Warehouses[Warehouse ID],RANDBETWEEN(1,8))</f>
        <v>W003</v>
      </c>
      <c r="F636">
        <f t="shared" ca="1" si="27"/>
        <v>4</v>
      </c>
      <c r="G636">
        <f ca="1">_xlfn.XLOOKUP(Orders[[#This Row],[Product ID]],Products[Product ID],Products[Selling Price])</f>
        <v>36000</v>
      </c>
      <c r="H636" s="6">
        <f t="shared" ca="1" si="28"/>
        <v>0.18</v>
      </c>
      <c r="I636">
        <f ca="1">Orders[[#This Row],[Quantity]]*Orders[[#This Row],[Unit Price]]*(1-Orders[[#This Row],[Discount%]])</f>
        <v>118080.00000000001</v>
      </c>
      <c r="J636" t="str" cm="1">
        <f t="array" aca="1" ref="J636" ca="1">INDEX(PaymentMethods[Payment Method],RANDBETWEEN(1,5))</f>
        <v>Credit Card</v>
      </c>
    </row>
    <row r="637" spans="1:10" x14ac:dyDescent="0.3">
      <c r="A637" t="str">
        <f t="shared" si="29"/>
        <v>O0636</v>
      </c>
      <c r="B637" s="6">
        <f ca="1">Orders[[#This Row],[Discount%]]</f>
        <v>0.17</v>
      </c>
      <c r="C637" t="str" cm="1">
        <f t="array" aca="1" ref="C637" ca="1">INDEX(Customers[Customer ID],RANDBETWEEN(1,200))</f>
        <v>C012</v>
      </c>
      <c r="D637" t="str" cm="1">
        <f t="array" aca="1" ref="D637" ca="1">INDEX(Products[Product ID],RANDBETWEEN(1,50))</f>
        <v>P019</v>
      </c>
      <c r="E637" t="str" cm="1">
        <f t="array" aca="1" ref="E637" ca="1">INDEX(Warehouses[Warehouse ID],RANDBETWEEN(1,8))</f>
        <v>W005</v>
      </c>
      <c r="F637">
        <f t="shared" ca="1" si="27"/>
        <v>6</v>
      </c>
      <c r="G637">
        <f ca="1">_xlfn.XLOOKUP(Orders[[#This Row],[Product ID]],Products[Product ID],Products[Selling Price])</f>
        <v>950</v>
      </c>
      <c r="H637" s="6">
        <f t="shared" ca="1" si="28"/>
        <v>0.17</v>
      </c>
      <c r="I637">
        <f ca="1">Orders[[#This Row],[Quantity]]*Orders[[#This Row],[Unit Price]]*(1-Orders[[#This Row],[Discount%]])</f>
        <v>4731</v>
      </c>
      <c r="J637" t="str" cm="1">
        <f t="array" aca="1" ref="J637" ca="1">INDEX(PaymentMethods[Payment Method],RANDBETWEEN(1,5))</f>
        <v>Cash</v>
      </c>
    </row>
    <row r="638" spans="1:10" x14ac:dyDescent="0.3">
      <c r="A638" t="str">
        <f t="shared" si="29"/>
        <v>O0637</v>
      </c>
      <c r="B638" s="6">
        <f ca="1">Orders[[#This Row],[Discount%]]</f>
        <v>0.06</v>
      </c>
      <c r="C638" t="str" cm="1">
        <f t="array" aca="1" ref="C638" ca="1">INDEX(Customers[Customer ID],RANDBETWEEN(1,200))</f>
        <v>C035</v>
      </c>
      <c r="D638" t="str" cm="1">
        <f t="array" aca="1" ref="D638" ca="1">INDEX(Products[Product ID],RANDBETWEEN(1,50))</f>
        <v>P006</v>
      </c>
      <c r="E638" t="str" cm="1">
        <f t="array" aca="1" ref="E638" ca="1">INDEX(Warehouses[Warehouse ID],RANDBETWEEN(1,8))</f>
        <v>W007</v>
      </c>
      <c r="F638">
        <f t="shared" ca="1" si="27"/>
        <v>7</v>
      </c>
      <c r="G638">
        <f ca="1">_xlfn.XLOOKUP(Orders[[#This Row],[Product ID]],Products[Product ID],Products[Selling Price])</f>
        <v>3500</v>
      </c>
      <c r="H638" s="6">
        <f t="shared" ca="1" si="28"/>
        <v>0.06</v>
      </c>
      <c r="I638">
        <f ca="1">Orders[[#This Row],[Quantity]]*Orders[[#This Row],[Unit Price]]*(1-Orders[[#This Row],[Discount%]])</f>
        <v>23030</v>
      </c>
      <c r="J638" t="str" cm="1">
        <f t="array" aca="1" ref="J638" ca="1">INDEX(PaymentMethods[Payment Method],RANDBETWEEN(1,5))</f>
        <v>Net Banking</v>
      </c>
    </row>
    <row r="639" spans="1:10" x14ac:dyDescent="0.3">
      <c r="A639" t="str">
        <f t="shared" si="29"/>
        <v>O0638</v>
      </c>
      <c r="B639" s="6">
        <f ca="1">Orders[[#This Row],[Discount%]]</f>
        <v>0.12</v>
      </c>
      <c r="C639" t="str" cm="1">
        <f t="array" aca="1" ref="C639" ca="1">INDEX(Customers[Customer ID],RANDBETWEEN(1,200))</f>
        <v>C159</v>
      </c>
      <c r="D639" t="str" cm="1">
        <f t="array" aca="1" ref="D639" ca="1">INDEX(Products[Product ID],RANDBETWEEN(1,50))</f>
        <v>P010</v>
      </c>
      <c r="E639" t="str" cm="1">
        <f t="array" aca="1" ref="E639" ca="1">INDEX(Warehouses[Warehouse ID],RANDBETWEEN(1,8))</f>
        <v>W004</v>
      </c>
      <c r="F639">
        <f t="shared" ca="1" si="27"/>
        <v>6</v>
      </c>
      <c r="G639">
        <f ca="1">_xlfn.XLOOKUP(Orders[[#This Row],[Product ID]],Products[Product ID],Products[Selling Price])</f>
        <v>250</v>
      </c>
      <c r="H639" s="6">
        <f t="shared" ca="1" si="28"/>
        <v>0.12</v>
      </c>
      <c r="I639">
        <f ca="1">Orders[[#This Row],[Quantity]]*Orders[[#This Row],[Unit Price]]*(1-Orders[[#This Row],[Discount%]])</f>
        <v>1320</v>
      </c>
      <c r="J639" t="str" cm="1">
        <f t="array" aca="1" ref="J639" ca="1">INDEX(PaymentMethods[Payment Method],RANDBETWEEN(1,5))</f>
        <v>UPI</v>
      </c>
    </row>
    <row r="640" spans="1:10" x14ac:dyDescent="0.3">
      <c r="A640" t="str">
        <f t="shared" si="29"/>
        <v>O0639</v>
      </c>
      <c r="B640" s="6">
        <f ca="1">Orders[[#This Row],[Discount%]]</f>
        <v>0.17</v>
      </c>
      <c r="C640" t="str" cm="1">
        <f t="array" aca="1" ref="C640" ca="1">INDEX(Customers[Customer ID],RANDBETWEEN(1,200))</f>
        <v>C122</v>
      </c>
      <c r="D640" t="str" cm="1">
        <f t="array" aca="1" ref="D640" ca="1">INDEX(Products[Product ID],RANDBETWEEN(1,50))</f>
        <v>P007</v>
      </c>
      <c r="E640" t="str" cm="1">
        <f t="array" aca="1" ref="E640" ca="1">INDEX(Warehouses[Warehouse ID],RANDBETWEEN(1,8))</f>
        <v>W007</v>
      </c>
      <c r="F640">
        <f t="shared" ca="1" si="27"/>
        <v>1</v>
      </c>
      <c r="G640">
        <f ca="1">_xlfn.XLOOKUP(Orders[[#This Row],[Product ID]],Products[Product ID],Products[Selling Price])</f>
        <v>6000</v>
      </c>
      <c r="H640" s="6">
        <f t="shared" ca="1" si="28"/>
        <v>0.17</v>
      </c>
      <c r="I640">
        <f ca="1">Orders[[#This Row],[Quantity]]*Orders[[#This Row],[Unit Price]]*(1-Orders[[#This Row],[Discount%]])</f>
        <v>4980</v>
      </c>
      <c r="J640" t="str" cm="1">
        <f t="array" aca="1" ref="J640" ca="1">INDEX(PaymentMethods[Payment Method],RANDBETWEEN(1,5))</f>
        <v>Cash</v>
      </c>
    </row>
    <row r="641" spans="1:10" x14ac:dyDescent="0.3">
      <c r="A641" t="str">
        <f t="shared" si="29"/>
        <v>O0640</v>
      </c>
      <c r="B641" s="6">
        <f ca="1">Orders[[#This Row],[Discount%]]</f>
        <v>0.11</v>
      </c>
      <c r="C641" t="str" cm="1">
        <f t="array" aca="1" ref="C641" ca="1">INDEX(Customers[Customer ID],RANDBETWEEN(1,200))</f>
        <v>C106</v>
      </c>
      <c r="D641" t="str" cm="1">
        <f t="array" aca="1" ref="D641" ca="1">INDEX(Products[Product ID],RANDBETWEEN(1,50))</f>
        <v>P030</v>
      </c>
      <c r="E641" t="str" cm="1">
        <f t="array" aca="1" ref="E641" ca="1">INDEX(Warehouses[Warehouse ID],RANDBETWEEN(1,8))</f>
        <v>W007</v>
      </c>
      <c r="F641">
        <f t="shared" ca="1" si="27"/>
        <v>10</v>
      </c>
      <c r="G641">
        <f ca="1">_xlfn.XLOOKUP(Orders[[#This Row],[Product ID]],Products[Product ID],Products[Selling Price])</f>
        <v>4800</v>
      </c>
      <c r="H641" s="6">
        <f t="shared" ca="1" si="28"/>
        <v>0.11</v>
      </c>
      <c r="I641">
        <f ca="1">Orders[[#This Row],[Quantity]]*Orders[[#This Row],[Unit Price]]*(1-Orders[[#This Row],[Discount%]])</f>
        <v>42720</v>
      </c>
      <c r="J641" t="str" cm="1">
        <f t="array" aca="1" ref="J641" ca="1">INDEX(PaymentMethods[Payment Method],RANDBETWEEN(1,5))</f>
        <v>Credit Card</v>
      </c>
    </row>
    <row r="642" spans="1:10" x14ac:dyDescent="0.3">
      <c r="A642" t="str">
        <f t="shared" si="29"/>
        <v>O0641</v>
      </c>
      <c r="B642" s="6">
        <f ca="1">Orders[[#This Row],[Discount%]]</f>
        <v>0</v>
      </c>
      <c r="C642" t="str" cm="1">
        <f t="array" aca="1" ref="C642" ca="1">INDEX(Customers[Customer ID],RANDBETWEEN(1,200))</f>
        <v>C098</v>
      </c>
      <c r="D642" t="str" cm="1">
        <f t="array" aca="1" ref="D642" ca="1">INDEX(Products[Product ID],RANDBETWEEN(1,50))</f>
        <v>P005</v>
      </c>
      <c r="E642" t="str" cm="1">
        <f t="array" aca="1" ref="E642" ca="1">INDEX(Warehouses[Warehouse ID],RANDBETWEEN(1,8))</f>
        <v>W008</v>
      </c>
      <c r="F642">
        <f t="shared" ref="F642:F705" ca="1" si="30">RANDBETWEEN(1,10)</f>
        <v>6</v>
      </c>
      <c r="G642">
        <f ca="1">_xlfn.XLOOKUP(Orders[[#This Row],[Product ID]],Products[Product ID],Products[Selling Price])</f>
        <v>10500</v>
      </c>
      <c r="H642" s="6">
        <f t="shared" ref="H642:H705" ca="1" si="31">RANDBETWEEN(0,20)/100</f>
        <v>0</v>
      </c>
      <c r="I642">
        <f ca="1">Orders[[#This Row],[Quantity]]*Orders[[#This Row],[Unit Price]]*(1-Orders[[#This Row],[Discount%]])</f>
        <v>63000</v>
      </c>
      <c r="J642" t="str" cm="1">
        <f t="array" aca="1" ref="J642" ca="1">INDEX(PaymentMethods[Payment Method],RANDBETWEEN(1,5))</f>
        <v>Cash</v>
      </c>
    </row>
    <row r="643" spans="1:10" x14ac:dyDescent="0.3">
      <c r="A643" t="str">
        <f t="shared" ref="A643:A706" si="32">"O"&amp;TEXT(ROW()-1,"0000")</f>
        <v>O0642</v>
      </c>
      <c r="B643" s="6">
        <f ca="1">Orders[[#This Row],[Discount%]]</f>
        <v>0.2</v>
      </c>
      <c r="C643" t="str" cm="1">
        <f t="array" aca="1" ref="C643" ca="1">INDEX(Customers[Customer ID],RANDBETWEEN(1,200))</f>
        <v>C196</v>
      </c>
      <c r="D643" t="str" cm="1">
        <f t="array" aca="1" ref="D643" ca="1">INDEX(Products[Product ID],RANDBETWEEN(1,50))</f>
        <v>P010</v>
      </c>
      <c r="E643" t="str" cm="1">
        <f t="array" aca="1" ref="E643" ca="1">INDEX(Warehouses[Warehouse ID],RANDBETWEEN(1,8))</f>
        <v>W003</v>
      </c>
      <c r="F643">
        <f t="shared" ca="1" si="30"/>
        <v>7</v>
      </c>
      <c r="G643">
        <f ca="1">_xlfn.XLOOKUP(Orders[[#This Row],[Product ID]],Products[Product ID],Products[Selling Price])</f>
        <v>250</v>
      </c>
      <c r="H643" s="6">
        <f t="shared" ca="1" si="31"/>
        <v>0.2</v>
      </c>
      <c r="I643">
        <f ca="1">Orders[[#This Row],[Quantity]]*Orders[[#This Row],[Unit Price]]*(1-Orders[[#This Row],[Discount%]])</f>
        <v>1400</v>
      </c>
      <c r="J643" t="str" cm="1">
        <f t="array" aca="1" ref="J643" ca="1">INDEX(PaymentMethods[Payment Method],RANDBETWEEN(1,5))</f>
        <v>Debit Card</v>
      </c>
    </row>
    <row r="644" spans="1:10" x14ac:dyDescent="0.3">
      <c r="A644" t="str">
        <f t="shared" si="32"/>
        <v>O0643</v>
      </c>
      <c r="B644" s="6">
        <f ca="1">Orders[[#This Row],[Discount%]]</f>
        <v>0.1</v>
      </c>
      <c r="C644" t="str" cm="1">
        <f t="array" aca="1" ref="C644" ca="1">INDEX(Customers[Customer ID],RANDBETWEEN(1,200))</f>
        <v>C055</v>
      </c>
      <c r="D644" t="str" cm="1">
        <f t="array" aca="1" ref="D644" ca="1">INDEX(Products[Product ID],RANDBETWEEN(1,50))</f>
        <v>P001</v>
      </c>
      <c r="E644" t="str" cm="1">
        <f t="array" aca="1" ref="E644" ca="1">INDEX(Warehouses[Warehouse ID],RANDBETWEEN(1,8))</f>
        <v>W002</v>
      </c>
      <c r="F644">
        <f t="shared" ca="1" si="30"/>
        <v>2</v>
      </c>
      <c r="G644">
        <f ca="1">_xlfn.XLOOKUP(Orders[[#This Row],[Product ID]],Products[Product ID],Products[Selling Price])</f>
        <v>42000</v>
      </c>
      <c r="H644" s="6">
        <f t="shared" ca="1" si="31"/>
        <v>0.1</v>
      </c>
      <c r="I644">
        <f ca="1">Orders[[#This Row],[Quantity]]*Orders[[#This Row],[Unit Price]]*(1-Orders[[#This Row],[Discount%]])</f>
        <v>75600</v>
      </c>
      <c r="J644" t="str" cm="1">
        <f t="array" aca="1" ref="J644" ca="1">INDEX(PaymentMethods[Payment Method],RANDBETWEEN(1,5))</f>
        <v>Debit Card</v>
      </c>
    </row>
    <row r="645" spans="1:10" x14ac:dyDescent="0.3">
      <c r="A645" t="str">
        <f t="shared" si="32"/>
        <v>O0644</v>
      </c>
      <c r="B645" s="6">
        <f ca="1">Orders[[#This Row],[Discount%]]</f>
        <v>0.2</v>
      </c>
      <c r="C645" t="str" cm="1">
        <f t="array" aca="1" ref="C645" ca="1">INDEX(Customers[Customer ID],RANDBETWEEN(1,200))</f>
        <v>C099</v>
      </c>
      <c r="D645" t="str" cm="1">
        <f t="array" aca="1" ref="D645" ca="1">INDEX(Products[Product ID],RANDBETWEEN(1,50))</f>
        <v>P035</v>
      </c>
      <c r="E645" t="str" cm="1">
        <f t="array" aca="1" ref="E645" ca="1">INDEX(Warehouses[Warehouse ID],RANDBETWEEN(1,8))</f>
        <v>W007</v>
      </c>
      <c r="F645">
        <f t="shared" ca="1" si="30"/>
        <v>4</v>
      </c>
      <c r="G645">
        <f ca="1">_xlfn.XLOOKUP(Orders[[#This Row],[Product ID]],Products[Product ID],Products[Selling Price])</f>
        <v>300</v>
      </c>
      <c r="H645" s="6">
        <f t="shared" ca="1" si="31"/>
        <v>0.2</v>
      </c>
      <c r="I645">
        <f ca="1">Orders[[#This Row],[Quantity]]*Orders[[#This Row],[Unit Price]]*(1-Orders[[#This Row],[Discount%]])</f>
        <v>960</v>
      </c>
      <c r="J645" t="str" cm="1">
        <f t="array" aca="1" ref="J645" ca="1">INDEX(PaymentMethods[Payment Method],RANDBETWEEN(1,5))</f>
        <v>Net Banking</v>
      </c>
    </row>
    <row r="646" spans="1:10" x14ac:dyDescent="0.3">
      <c r="A646" t="str">
        <f t="shared" si="32"/>
        <v>O0645</v>
      </c>
      <c r="B646" s="6">
        <f ca="1">Orders[[#This Row],[Discount%]]</f>
        <v>0.13</v>
      </c>
      <c r="C646" t="str" cm="1">
        <f t="array" aca="1" ref="C646" ca="1">INDEX(Customers[Customer ID],RANDBETWEEN(1,200))</f>
        <v>C159</v>
      </c>
      <c r="D646" t="str" cm="1">
        <f t="array" aca="1" ref="D646" ca="1">INDEX(Products[Product ID],RANDBETWEEN(1,50))</f>
        <v>P008</v>
      </c>
      <c r="E646" t="str" cm="1">
        <f t="array" aca="1" ref="E646" ca="1">INDEX(Warehouses[Warehouse ID],RANDBETWEEN(1,8))</f>
        <v>W001</v>
      </c>
      <c r="F646">
        <f t="shared" ca="1" si="30"/>
        <v>1</v>
      </c>
      <c r="G646">
        <f ca="1">_xlfn.XLOOKUP(Orders[[#This Row],[Product ID]],Products[Product ID],Products[Selling Price])</f>
        <v>4200</v>
      </c>
      <c r="H646" s="6">
        <f t="shared" ca="1" si="31"/>
        <v>0.13</v>
      </c>
      <c r="I646">
        <f ca="1">Orders[[#This Row],[Quantity]]*Orders[[#This Row],[Unit Price]]*(1-Orders[[#This Row],[Discount%]])</f>
        <v>3654</v>
      </c>
      <c r="J646" t="str" cm="1">
        <f t="array" aca="1" ref="J646" ca="1">INDEX(PaymentMethods[Payment Method],RANDBETWEEN(1,5))</f>
        <v>Debit Card</v>
      </c>
    </row>
    <row r="647" spans="1:10" x14ac:dyDescent="0.3">
      <c r="A647" t="str">
        <f t="shared" si="32"/>
        <v>O0646</v>
      </c>
      <c r="B647" s="6">
        <f ca="1">Orders[[#This Row],[Discount%]]</f>
        <v>0.19</v>
      </c>
      <c r="C647" t="str" cm="1">
        <f t="array" aca="1" ref="C647" ca="1">INDEX(Customers[Customer ID],RANDBETWEEN(1,200))</f>
        <v>C113</v>
      </c>
      <c r="D647" t="str" cm="1">
        <f t="array" aca="1" ref="D647" ca="1">INDEX(Products[Product ID],RANDBETWEEN(1,50))</f>
        <v>P037</v>
      </c>
      <c r="E647" t="str" cm="1">
        <f t="array" aca="1" ref="E647" ca="1">INDEX(Warehouses[Warehouse ID],RANDBETWEEN(1,8))</f>
        <v>W004</v>
      </c>
      <c r="F647">
        <f t="shared" ca="1" si="30"/>
        <v>10</v>
      </c>
      <c r="G647">
        <f ca="1">_xlfn.XLOOKUP(Orders[[#This Row],[Product ID]],Products[Product ID],Products[Selling Price])</f>
        <v>550</v>
      </c>
      <c r="H647" s="6">
        <f t="shared" ca="1" si="31"/>
        <v>0.19</v>
      </c>
      <c r="I647">
        <f ca="1">Orders[[#This Row],[Quantity]]*Orders[[#This Row],[Unit Price]]*(1-Orders[[#This Row],[Discount%]])</f>
        <v>4455</v>
      </c>
      <c r="J647" t="str" cm="1">
        <f t="array" aca="1" ref="J647" ca="1">INDEX(PaymentMethods[Payment Method],RANDBETWEEN(1,5))</f>
        <v>Cash</v>
      </c>
    </row>
    <row r="648" spans="1:10" x14ac:dyDescent="0.3">
      <c r="A648" t="str">
        <f t="shared" si="32"/>
        <v>O0647</v>
      </c>
      <c r="B648" s="6">
        <f ca="1">Orders[[#This Row],[Discount%]]</f>
        <v>0.18</v>
      </c>
      <c r="C648" t="str" cm="1">
        <f t="array" aca="1" ref="C648" ca="1">INDEX(Customers[Customer ID],RANDBETWEEN(1,200))</f>
        <v>C105</v>
      </c>
      <c r="D648" t="str" cm="1">
        <f t="array" aca="1" ref="D648" ca="1">INDEX(Products[Product ID],RANDBETWEEN(1,50))</f>
        <v>P019</v>
      </c>
      <c r="E648" t="str" cm="1">
        <f t="array" aca="1" ref="E648" ca="1">INDEX(Warehouses[Warehouse ID],RANDBETWEEN(1,8))</f>
        <v>W002</v>
      </c>
      <c r="F648">
        <f t="shared" ca="1" si="30"/>
        <v>9</v>
      </c>
      <c r="G648">
        <f ca="1">_xlfn.XLOOKUP(Orders[[#This Row],[Product ID]],Products[Product ID],Products[Selling Price])</f>
        <v>950</v>
      </c>
      <c r="H648" s="6">
        <f t="shared" ca="1" si="31"/>
        <v>0.18</v>
      </c>
      <c r="I648">
        <f ca="1">Orders[[#This Row],[Quantity]]*Orders[[#This Row],[Unit Price]]*(1-Orders[[#This Row],[Discount%]])</f>
        <v>7011.0000000000009</v>
      </c>
      <c r="J648" t="str" cm="1">
        <f t="array" aca="1" ref="J648" ca="1">INDEX(PaymentMethods[Payment Method],RANDBETWEEN(1,5))</f>
        <v>Credit Card</v>
      </c>
    </row>
    <row r="649" spans="1:10" x14ac:dyDescent="0.3">
      <c r="A649" t="str">
        <f t="shared" si="32"/>
        <v>O0648</v>
      </c>
      <c r="B649" s="6">
        <f ca="1">Orders[[#This Row],[Discount%]]</f>
        <v>0.2</v>
      </c>
      <c r="C649" t="str" cm="1">
        <f t="array" aca="1" ref="C649" ca="1">INDEX(Customers[Customer ID],RANDBETWEEN(1,200))</f>
        <v>C109</v>
      </c>
      <c r="D649" t="str" cm="1">
        <f t="array" aca="1" ref="D649" ca="1">INDEX(Products[Product ID],RANDBETWEEN(1,50))</f>
        <v>P033</v>
      </c>
      <c r="E649" t="str" cm="1">
        <f t="array" aca="1" ref="E649" ca="1">INDEX(Warehouses[Warehouse ID],RANDBETWEEN(1,8))</f>
        <v>W002</v>
      </c>
      <c r="F649">
        <f t="shared" ca="1" si="30"/>
        <v>8</v>
      </c>
      <c r="G649">
        <f ca="1">_xlfn.XLOOKUP(Orders[[#This Row],[Product ID]],Products[Product ID],Products[Selling Price])</f>
        <v>180</v>
      </c>
      <c r="H649" s="6">
        <f t="shared" ca="1" si="31"/>
        <v>0.2</v>
      </c>
      <c r="I649">
        <f ca="1">Orders[[#This Row],[Quantity]]*Orders[[#This Row],[Unit Price]]*(1-Orders[[#This Row],[Discount%]])</f>
        <v>1152</v>
      </c>
      <c r="J649" t="str" cm="1">
        <f t="array" aca="1" ref="J649" ca="1">INDEX(PaymentMethods[Payment Method],RANDBETWEEN(1,5))</f>
        <v>UPI</v>
      </c>
    </row>
    <row r="650" spans="1:10" x14ac:dyDescent="0.3">
      <c r="A650" t="str">
        <f t="shared" si="32"/>
        <v>O0649</v>
      </c>
      <c r="B650" s="6">
        <f ca="1">Orders[[#This Row],[Discount%]]</f>
        <v>0.19</v>
      </c>
      <c r="C650" t="str" cm="1">
        <f t="array" aca="1" ref="C650" ca="1">INDEX(Customers[Customer ID],RANDBETWEEN(1,200))</f>
        <v>C021</v>
      </c>
      <c r="D650" t="str" cm="1">
        <f t="array" aca="1" ref="D650" ca="1">INDEX(Products[Product ID],RANDBETWEEN(1,50))</f>
        <v>P042</v>
      </c>
      <c r="E650" t="str" cm="1">
        <f t="array" aca="1" ref="E650" ca="1">INDEX(Warehouses[Warehouse ID],RANDBETWEEN(1,8))</f>
        <v>W002</v>
      </c>
      <c r="F650">
        <f t="shared" ca="1" si="30"/>
        <v>6</v>
      </c>
      <c r="G650">
        <f ca="1">_xlfn.XLOOKUP(Orders[[#This Row],[Product ID]],Products[Product ID],Products[Selling Price])</f>
        <v>29000</v>
      </c>
      <c r="H650" s="6">
        <f t="shared" ca="1" si="31"/>
        <v>0.19</v>
      </c>
      <c r="I650">
        <f ca="1">Orders[[#This Row],[Quantity]]*Orders[[#This Row],[Unit Price]]*(1-Orders[[#This Row],[Discount%]])</f>
        <v>140940</v>
      </c>
      <c r="J650" t="str" cm="1">
        <f t="array" aca="1" ref="J650" ca="1">INDEX(PaymentMethods[Payment Method],RANDBETWEEN(1,5))</f>
        <v>Debit Card</v>
      </c>
    </row>
    <row r="651" spans="1:10" x14ac:dyDescent="0.3">
      <c r="A651" t="str">
        <f t="shared" si="32"/>
        <v>O0650</v>
      </c>
      <c r="B651" s="6">
        <f ca="1">Orders[[#This Row],[Discount%]]</f>
        <v>0.18</v>
      </c>
      <c r="C651" t="str" cm="1">
        <f t="array" aca="1" ref="C651" ca="1">INDEX(Customers[Customer ID],RANDBETWEEN(1,200))</f>
        <v>C188</v>
      </c>
      <c r="D651" t="str" cm="1">
        <f t="array" aca="1" ref="D651" ca="1">INDEX(Products[Product ID],RANDBETWEEN(1,50))</f>
        <v>P023</v>
      </c>
      <c r="E651" t="str" cm="1">
        <f t="array" aca="1" ref="E651" ca="1">INDEX(Warehouses[Warehouse ID],RANDBETWEEN(1,8))</f>
        <v>W001</v>
      </c>
      <c r="F651">
        <f t="shared" ca="1" si="30"/>
        <v>3</v>
      </c>
      <c r="G651">
        <f ca="1">_xlfn.XLOOKUP(Orders[[#This Row],[Product ID]],Products[Product ID],Products[Selling Price])</f>
        <v>2300</v>
      </c>
      <c r="H651" s="6">
        <f t="shared" ca="1" si="31"/>
        <v>0.18</v>
      </c>
      <c r="I651">
        <f ca="1">Orders[[#This Row],[Quantity]]*Orders[[#This Row],[Unit Price]]*(1-Orders[[#This Row],[Discount%]])</f>
        <v>5658</v>
      </c>
      <c r="J651" t="str" cm="1">
        <f t="array" aca="1" ref="J651" ca="1">INDEX(PaymentMethods[Payment Method],RANDBETWEEN(1,5))</f>
        <v>Net Banking</v>
      </c>
    </row>
    <row r="652" spans="1:10" x14ac:dyDescent="0.3">
      <c r="A652" t="str">
        <f t="shared" si="32"/>
        <v>O0651</v>
      </c>
      <c r="B652" s="6">
        <f ca="1">Orders[[#This Row],[Discount%]]</f>
        <v>0.09</v>
      </c>
      <c r="C652" t="str" cm="1">
        <f t="array" aca="1" ref="C652" ca="1">INDEX(Customers[Customer ID],RANDBETWEEN(1,200))</f>
        <v>C026</v>
      </c>
      <c r="D652" t="str" cm="1">
        <f t="array" aca="1" ref="D652" ca="1">INDEX(Products[Product ID],RANDBETWEEN(1,50))</f>
        <v>P019</v>
      </c>
      <c r="E652" t="str" cm="1">
        <f t="array" aca="1" ref="E652" ca="1">INDEX(Warehouses[Warehouse ID],RANDBETWEEN(1,8))</f>
        <v>W001</v>
      </c>
      <c r="F652">
        <f t="shared" ca="1" si="30"/>
        <v>4</v>
      </c>
      <c r="G652">
        <f ca="1">_xlfn.XLOOKUP(Orders[[#This Row],[Product ID]],Products[Product ID],Products[Selling Price])</f>
        <v>950</v>
      </c>
      <c r="H652" s="6">
        <f t="shared" ca="1" si="31"/>
        <v>0.09</v>
      </c>
      <c r="I652">
        <f ca="1">Orders[[#This Row],[Quantity]]*Orders[[#This Row],[Unit Price]]*(1-Orders[[#This Row],[Discount%]])</f>
        <v>3458</v>
      </c>
      <c r="J652" t="str" cm="1">
        <f t="array" aca="1" ref="J652" ca="1">INDEX(PaymentMethods[Payment Method],RANDBETWEEN(1,5))</f>
        <v>Credit Card</v>
      </c>
    </row>
    <row r="653" spans="1:10" x14ac:dyDescent="0.3">
      <c r="A653" t="str">
        <f t="shared" si="32"/>
        <v>O0652</v>
      </c>
      <c r="B653" s="6">
        <f ca="1">Orders[[#This Row],[Discount%]]</f>
        <v>0.02</v>
      </c>
      <c r="C653" t="str" cm="1">
        <f t="array" aca="1" ref="C653" ca="1">INDEX(Customers[Customer ID],RANDBETWEEN(1,200))</f>
        <v>C064</v>
      </c>
      <c r="D653" t="str" cm="1">
        <f t="array" aca="1" ref="D653" ca="1">INDEX(Products[Product ID],RANDBETWEEN(1,50))</f>
        <v>P010</v>
      </c>
      <c r="E653" t="str" cm="1">
        <f t="array" aca="1" ref="E653" ca="1">INDEX(Warehouses[Warehouse ID],RANDBETWEEN(1,8))</f>
        <v>W004</v>
      </c>
      <c r="F653">
        <f t="shared" ca="1" si="30"/>
        <v>6</v>
      </c>
      <c r="G653">
        <f ca="1">_xlfn.XLOOKUP(Orders[[#This Row],[Product ID]],Products[Product ID],Products[Selling Price])</f>
        <v>250</v>
      </c>
      <c r="H653" s="6">
        <f t="shared" ca="1" si="31"/>
        <v>0.02</v>
      </c>
      <c r="I653">
        <f ca="1">Orders[[#This Row],[Quantity]]*Orders[[#This Row],[Unit Price]]*(1-Orders[[#This Row],[Discount%]])</f>
        <v>1470</v>
      </c>
      <c r="J653" t="str" cm="1">
        <f t="array" aca="1" ref="J653" ca="1">INDEX(PaymentMethods[Payment Method],RANDBETWEEN(1,5))</f>
        <v>Net Banking</v>
      </c>
    </row>
    <row r="654" spans="1:10" x14ac:dyDescent="0.3">
      <c r="A654" t="str">
        <f t="shared" si="32"/>
        <v>O0653</v>
      </c>
      <c r="B654" s="6">
        <f ca="1">Orders[[#This Row],[Discount%]]</f>
        <v>0.19</v>
      </c>
      <c r="C654" t="str" cm="1">
        <f t="array" aca="1" ref="C654" ca="1">INDEX(Customers[Customer ID],RANDBETWEEN(1,200))</f>
        <v>C188</v>
      </c>
      <c r="D654" t="str" cm="1">
        <f t="array" aca="1" ref="D654" ca="1">INDEX(Products[Product ID],RANDBETWEEN(1,50))</f>
        <v>P019</v>
      </c>
      <c r="E654" t="str" cm="1">
        <f t="array" aca="1" ref="E654" ca="1">INDEX(Warehouses[Warehouse ID],RANDBETWEEN(1,8))</f>
        <v>W006</v>
      </c>
      <c r="F654">
        <f t="shared" ca="1" si="30"/>
        <v>5</v>
      </c>
      <c r="G654">
        <f ca="1">_xlfn.XLOOKUP(Orders[[#This Row],[Product ID]],Products[Product ID],Products[Selling Price])</f>
        <v>950</v>
      </c>
      <c r="H654" s="6">
        <f t="shared" ca="1" si="31"/>
        <v>0.19</v>
      </c>
      <c r="I654">
        <f ca="1">Orders[[#This Row],[Quantity]]*Orders[[#This Row],[Unit Price]]*(1-Orders[[#This Row],[Discount%]])</f>
        <v>3847.5000000000005</v>
      </c>
      <c r="J654" t="str" cm="1">
        <f t="array" aca="1" ref="J654" ca="1">INDEX(PaymentMethods[Payment Method],RANDBETWEEN(1,5))</f>
        <v>Credit Card</v>
      </c>
    </row>
    <row r="655" spans="1:10" x14ac:dyDescent="0.3">
      <c r="A655" t="str">
        <f t="shared" si="32"/>
        <v>O0654</v>
      </c>
      <c r="B655" s="6">
        <f ca="1">Orders[[#This Row],[Discount%]]</f>
        <v>0.14000000000000001</v>
      </c>
      <c r="C655" t="str" cm="1">
        <f t="array" aca="1" ref="C655" ca="1">INDEX(Customers[Customer ID],RANDBETWEEN(1,200))</f>
        <v>C157</v>
      </c>
      <c r="D655" t="str" cm="1">
        <f t="array" aca="1" ref="D655" ca="1">INDEX(Products[Product ID],RANDBETWEEN(1,50))</f>
        <v>P044</v>
      </c>
      <c r="E655" t="str" cm="1">
        <f t="array" aca="1" ref="E655" ca="1">INDEX(Warehouses[Warehouse ID],RANDBETWEEN(1,8))</f>
        <v>W002</v>
      </c>
      <c r="F655">
        <f t="shared" ca="1" si="30"/>
        <v>5</v>
      </c>
      <c r="G655">
        <f ca="1">_xlfn.XLOOKUP(Orders[[#This Row],[Product ID]],Products[Product ID],Products[Selling Price])</f>
        <v>8500</v>
      </c>
      <c r="H655" s="6">
        <f t="shared" ca="1" si="31"/>
        <v>0.14000000000000001</v>
      </c>
      <c r="I655">
        <f ca="1">Orders[[#This Row],[Quantity]]*Orders[[#This Row],[Unit Price]]*(1-Orders[[#This Row],[Discount%]])</f>
        <v>36550</v>
      </c>
      <c r="J655" t="str" cm="1">
        <f t="array" aca="1" ref="J655" ca="1">INDEX(PaymentMethods[Payment Method],RANDBETWEEN(1,5))</f>
        <v>Net Banking</v>
      </c>
    </row>
    <row r="656" spans="1:10" x14ac:dyDescent="0.3">
      <c r="A656" t="str">
        <f t="shared" si="32"/>
        <v>O0655</v>
      </c>
      <c r="B656" s="6">
        <f ca="1">Orders[[#This Row],[Discount%]]</f>
        <v>0.05</v>
      </c>
      <c r="C656" t="str" cm="1">
        <f t="array" aca="1" ref="C656" ca="1">INDEX(Customers[Customer ID],RANDBETWEEN(1,200))</f>
        <v>C066</v>
      </c>
      <c r="D656" t="str" cm="1">
        <f t="array" aca="1" ref="D656" ca="1">INDEX(Products[Product ID],RANDBETWEEN(1,50))</f>
        <v>P016</v>
      </c>
      <c r="E656" t="str" cm="1">
        <f t="array" aca="1" ref="E656" ca="1">INDEX(Warehouses[Warehouse ID],RANDBETWEEN(1,8))</f>
        <v>W005</v>
      </c>
      <c r="F656">
        <f t="shared" ca="1" si="30"/>
        <v>6</v>
      </c>
      <c r="G656">
        <f ca="1">_xlfn.XLOOKUP(Orders[[#This Row],[Product ID]],Products[Product ID],Products[Selling Price])</f>
        <v>2500</v>
      </c>
      <c r="H656" s="6">
        <f t="shared" ca="1" si="31"/>
        <v>0.05</v>
      </c>
      <c r="I656">
        <f ca="1">Orders[[#This Row],[Quantity]]*Orders[[#This Row],[Unit Price]]*(1-Orders[[#This Row],[Discount%]])</f>
        <v>14250</v>
      </c>
      <c r="J656" t="str" cm="1">
        <f t="array" aca="1" ref="J656" ca="1">INDEX(PaymentMethods[Payment Method],RANDBETWEEN(1,5))</f>
        <v>Cash</v>
      </c>
    </row>
    <row r="657" spans="1:10" x14ac:dyDescent="0.3">
      <c r="A657" t="str">
        <f t="shared" si="32"/>
        <v>O0656</v>
      </c>
      <c r="B657" s="6">
        <f ca="1">Orders[[#This Row],[Discount%]]</f>
        <v>0.04</v>
      </c>
      <c r="C657" t="str" cm="1">
        <f t="array" aca="1" ref="C657" ca="1">INDEX(Customers[Customer ID],RANDBETWEEN(1,200))</f>
        <v>C040</v>
      </c>
      <c r="D657" t="str" cm="1">
        <f t="array" aca="1" ref="D657" ca="1">INDEX(Products[Product ID],RANDBETWEEN(1,50))</f>
        <v>P013</v>
      </c>
      <c r="E657" t="str" cm="1">
        <f t="array" aca="1" ref="E657" ca="1">INDEX(Warehouses[Warehouse ID],RANDBETWEEN(1,8))</f>
        <v>W005</v>
      </c>
      <c r="F657">
        <f t="shared" ca="1" si="30"/>
        <v>2</v>
      </c>
      <c r="G657">
        <f ca="1">_xlfn.XLOOKUP(Orders[[#This Row],[Product ID]],Products[Product ID],Products[Selling Price])</f>
        <v>25</v>
      </c>
      <c r="H657" s="6">
        <f t="shared" ca="1" si="31"/>
        <v>0.04</v>
      </c>
      <c r="I657">
        <f ca="1">Orders[[#This Row],[Quantity]]*Orders[[#This Row],[Unit Price]]*(1-Orders[[#This Row],[Discount%]])</f>
        <v>48</v>
      </c>
      <c r="J657" t="str" cm="1">
        <f t="array" aca="1" ref="J657" ca="1">INDEX(PaymentMethods[Payment Method],RANDBETWEEN(1,5))</f>
        <v>Debit Card</v>
      </c>
    </row>
    <row r="658" spans="1:10" x14ac:dyDescent="0.3">
      <c r="A658" t="str">
        <f t="shared" si="32"/>
        <v>O0657</v>
      </c>
      <c r="B658" s="6">
        <f ca="1">Orders[[#This Row],[Discount%]]</f>
        <v>0.01</v>
      </c>
      <c r="C658" t="str" cm="1">
        <f t="array" aca="1" ref="C658" ca="1">INDEX(Customers[Customer ID],RANDBETWEEN(1,200))</f>
        <v>C095</v>
      </c>
      <c r="D658" t="str" cm="1">
        <f t="array" aca="1" ref="D658" ca="1">INDEX(Products[Product ID],RANDBETWEEN(1,50))</f>
        <v>P022</v>
      </c>
      <c r="E658" t="str" cm="1">
        <f t="array" aca="1" ref="E658" ca="1">INDEX(Warehouses[Warehouse ID],RANDBETWEEN(1,8))</f>
        <v>W006</v>
      </c>
      <c r="F658">
        <f t="shared" ca="1" si="30"/>
        <v>7</v>
      </c>
      <c r="G658">
        <f ca="1">_xlfn.XLOOKUP(Orders[[#This Row],[Product ID]],Products[Product ID],Products[Selling Price])</f>
        <v>5000</v>
      </c>
      <c r="H658" s="6">
        <f t="shared" ca="1" si="31"/>
        <v>0.01</v>
      </c>
      <c r="I658">
        <f ca="1">Orders[[#This Row],[Quantity]]*Orders[[#This Row],[Unit Price]]*(1-Orders[[#This Row],[Discount%]])</f>
        <v>34650</v>
      </c>
      <c r="J658" t="str" cm="1">
        <f t="array" aca="1" ref="J658" ca="1">INDEX(PaymentMethods[Payment Method],RANDBETWEEN(1,5))</f>
        <v>Net Banking</v>
      </c>
    </row>
    <row r="659" spans="1:10" x14ac:dyDescent="0.3">
      <c r="A659" t="str">
        <f t="shared" si="32"/>
        <v>O0658</v>
      </c>
      <c r="B659" s="6">
        <f ca="1">Orders[[#This Row],[Discount%]]</f>
        <v>0.13</v>
      </c>
      <c r="C659" t="str" cm="1">
        <f t="array" aca="1" ref="C659" ca="1">INDEX(Customers[Customer ID],RANDBETWEEN(1,200))</f>
        <v>C030</v>
      </c>
      <c r="D659" t="str" cm="1">
        <f t="array" aca="1" ref="D659" ca="1">INDEX(Products[Product ID],RANDBETWEEN(1,50))</f>
        <v>P044</v>
      </c>
      <c r="E659" t="str" cm="1">
        <f t="array" aca="1" ref="E659" ca="1">INDEX(Warehouses[Warehouse ID],RANDBETWEEN(1,8))</f>
        <v>W002</v>
      </c>
      <c r="F659">
        <f t="shared" ca="1" si="30"/>
        <v>5</v>
      </c>
      <c r="G659">
        <f ca="1">_xlfn.XLOOKUP(Orders[[#This Row],[Product ID]],Products[Product ID],Products[Selling Price])</f>
        <v>8500</v>
      </c>
      <c r="H659" s="6">
        <f t="shared" ca="1" si="31"/>
        <v>0.13</v>
      </c>
      <c r="I659">
        <f ca="1">Orders[[#This Row],[Quantity]]*Orders[[#This Row],[Unit Price]]*(1-Orders[[#This Row],[Discount%]])</f>
        <v>36975</v>
      </c>
      <c r="J659" t="str" cm="1">
        <f t="array" aca="1" ref="J659" ca="1">INDEX(PaymentMethods[Payment Method],RANDBETWEEN(1,5))</f>
        <v>Net Banking</v>
      </c>
    </row>
    <row r="660" spans="1:10" x14ac:dyDescent="0.3">
      <c r="A660" t="str">
        <f t="shared" si="32"/>
        <v>O0659</v>
      </c>
      <c r="B660" s="6">
        <f ca="1">Orders[[#This Row],[Discount%]]</f>
        <v>0.05</v>
      </c>
      <c r="C660" t="str" cm="1">
        <f t="array" aca="1" ref="C660" ca="1">INDEX(Customers[Customer ID],RANDBETWEEN(1,200))</f>
        <v>C118</v>
      </c>
      <c r="D660" t="str" cm="1">
        <f t="array" aca="1" ref="D660" ca="1">INDEX(Products[Product ID],RANDBETWEEN(1,50))</f>
        <v>P045</v>
      </c>
      <c r="E660" t="str" cm="1">
        <f t="array" aca="1" ref="E660" ca="1">INDEX(Warehouses[Warehouse ID],RANDBETWEEN(1,8))</f>
        <v>W007</v>
      </c>
      <c r="F660">
        <f t="shared" ca="1" si="30"/>
        <v>7</v>
      </c>
      <c r="G660">
        <f ca="1">_xlfn.XLOOKUP(Orders[[#This Row],[Product ID]],Products[Product ID],Products[Selling Price])</f>
        <v>1500</v>
      </c>
      <c r="H660" s="6">
        <f t="shared" ca="1" si="31"/>
        <v>0.05</v>
      </c>
      <c r="I660">
        <f ca="1">Orders[[#This Row],[Quantity]]*Orders[[#This Row],[Unit Price]]*(1-Orders[[#This Row],[Discount%]])</f>
        <v>9975</v>
      </c>
      <c r="J660" t="str" cm="1">
        <f t="array" aca="1" ref="J660" ca="1">INDEX(PaymentMethods[Payment Method],RANDBETWEEN(1,5))</f>
        <v>Credit Card</v>
      </c>
    </row>
    <row r="661" spans="1:10" x14ac:dyDescent="0.3">
      <c r="A661" t="str">
        <f t="shared" si="32"/>
        <v>O0660</v>
      </c>
      <c r="B661" s="6">
        <f ca="1">Orders[[#This Row],[Discount%]]</f>
        <v>7.0000000000000007E-2</v>
      </c>
      <c r="C661" t="str" cm="1">
        <f t="array" aca="1" ref="C661" ca="1">INDEX(Customers[Customer ID],RANDBETWEEN(1,200))</f>
        <v>C018</v>
      </c>
      <c r="D661" t="str" cm="1">
        <f t="array" aca="1" ref="D661" ca="1">INDEX(Products[Product ID],RANDBETWEEN(1,50))</f>
        <v>P046</v>
      </c>
      <c r="E661" t="str" cm="1">
        <f t="array" aca="1" ref="E661" ca="1">INDEX(Warehouses[Warehouse ID],RANDBETWEEN(1,8))</f>
        <v>W002</v>
      </c>
      <c r="F661">
        <f t="shared" ca="1" si="30"/>
        <v>6</v>
      </c>
      <c r="G661">
        <f ca="1">_xlfn.XLOOKUP(Orders[[#This Row],[Product ID]],Products[Product ID],Products[Selling Price])</f>
        <v>2500</v>
      </c>
      <c r="H661" s="6">
        <f t="shared" ca="1" si="31"/>
        <v>7.0000000000000007E-2</v>
      </c>
      <c r="I661">
        <f ca="1">Orders[[#This Row],[Quantity]]*Orders[[#This Row],[Unit Price]]*(1-Orders[[#This Row],[Discount%]])</f>
        <v>13949.999999999998</v>
      </c>
      <c r="J661" t="str" cm="1">
        <f t="array" aca="1" ref="J661" ca="1">INDEX(PaymentMethods[Payment Method],RANDBETWEEN(1,5))</f>
        <v>Credit Card</v>
      </c>
    </row>
    <row r="662" spans="1:10" x14ac:dyDescent="0.3">
      <c r="A662" t="str">
        <f t="shared" si="32"/>
        <v>O0661</v>
      </c>
      <c r="B662" s="6">
        <f ca="1">Orders[[#This Row],[Discount%]]</f>
        <v>0.18</v>
      </c>
      <c r="C662" t="str" cm="1">
        <f t="array" aca="1" ref="C662" ca="1">INDEX(Customers[Customer ID],RANDBETWEEN(1,200))</f>
        <v>C134</v>
      </c>
      <c r="D662" t="str" cm="1">
        <f t="array" aca="1" ref="D662" ca="1">INDEX(Products[Product ID],RANDBETWEEN(1,50))</f>
        <v>P017</v>
      </c>
      <c r="E662" t="str" cm="1">
        <f t="array" aca="1" ref="E662" ca="1">INDEX(Warehouses[Warehouse ID],RANDBETWEEN(1,8))</f>
        <v>W006</v>
      </c>
      <c r="F662">
        <f t="shared" ca="1" si="30"/>
        <v>3</v>
      </c>
      <c r="G662">
        <f ca="1">_xlfn.XLOOKUP(Orders[[#This Row],[Product ID]],Products[Product ID],Products[Selling Price])</f>
        <v>650</v>
      </c>
      <c r="H662" s="6">
        <f t="shared" ca="1" si="31"/>
        <v>0.18</v>
      </c>
      <c r="I662">
        <f ca="1">Orders[[#This Row],[Quantity]]*Orders[[#This Row],[Unit Price]]*(1-Orders[[#This Row],[Discount%]])</f>
        <v>1599.0000000000002</v>
      </c>
      <c r="J662" t="str" cm="1">
        <f t="array" aca="1" ref="J662" ca="1">INDEX(PaymentMethods[Payment Method],RANDBETWEEN(1,5))</f>
        <v>Credit Card</v>
      </c>
    </row>
    <row r="663" spans="1:10" x14ac:dyDescent="0.3">
      <c r="A663" t="str">
        <f t="shared" si="32"/>
        <v>O0662</v>
      </c>
      <c r="B663" s="6">
        <f ca="1">Orders[[#This Row],[Discount%]]</f>
        <v>0.15</v>
      </c>
      <c r="C663" t="str" cm="1">
        <f t="array" aca="1" ref="C663" ca="1">INDEX(Customers[Customer ID],RANDBETWEEN(1,200))</f>
        <v>C198</v>
      </c>
      <c r="D663" t="str" cm="1">
        <f t="array" aca="1" ref="D663" ca="1">INDEX(Products[Product ID],RANDBETWEEN(1,50))</f>
        <v>P025</v>
      </c>
      <c r="E663" t="str" cm="1">
        <f t="array" aca="1" ref="E663" ca="1">INDEX(Warehouses[Warehouse ID],RANDBETWEEN(1,8))</f>
        <v>W005</v>
      </c>
      <c r="F663">
        <f t="shared" ca="1" si="30"/>
        <v>3</v>
      </c>
      <c r="G663">
        <f ca="1">_xlfn.XLOOKUP(Orders[[#This Row],[Product ID]],Products[Product ID],Products[Selling Price])</f>
        <v>1800</v>
      </c>
      <c r="H663" s="6">
        <f t="shared" ca="1" si="31"/>
        <v>0.15</v>
      </c>
      <c r="I663">
        <f ca="1">Orders[[#This Row],[Quantity]]*Orders[[#This Row],[Unit Price]]*(1-Orders[[#This Row],[Discount%]])</f>
        <v>4590</v>
      </c>
      <c r="J663" t="str" cm="1">
        <f t="array" aca="1" ref="J663" ca="1">INDEX(PaymentMethods[Payment Method],RANDBETWEEN(1,5))</f>
        <v>Net Banking</v>
      </c>
    </row>
    <row r="664" spans="1:10" x14ac:dyDescent="0.3">
      <c r="A664" t="str">
        <f t="shared" si="32"/>
        <v>O0663</v>
      </c>
      <c r="B664" s="6">
        <f ca="1">Orders[[#This Row],[Discount%]]</f>
        <v>0.1</v>
      </c>
      <c r="C664" t="str" cm="1">
        <f t="array" aca="1" ref="C664" ca="1">INDEX(Customers[Customer ID],RANDBETWEEN(1,200))</f>
        <v>C155</v>
      </c>
      <c r="D664" t="str" cm="1">
        <f t="array" aca="1" ref="D664" ca="1">INDEX(Products[Product ID],RANDBETWEEN(1,50))</f>
        <v>P044</v>
      </c>
      <c r="E664" t="str" cm="1">
        <f t="array" aca="1" ref="E664" ca="1">INDEX(Warehouses[Warehouse ID],RANDBETWEEN(1,8))</f>
        <v>W005</v>
      </c>
      <c r="F664">
        <f t="shared" ca="1" si="30"/>
        <v>1</v>
      </c>
      <c r="G664">
        <f ca="1">_xlfn.XLOOKUP(Orders[[#This Row],[Product ID]],Products[Product ID],Products[Selling Price])</f>
        <v>8500</v>
      </c>
      <c r="H664" s="6">
        <f t="shared" ca="1" si="31"/>
        <v>0.1</v>
      </c>
      <c r="I664">
        <f ca="1">Orders[[#This Row],[Quantity]]*Orders[[#This Row],[Unit Price]]*(1-Orders[[#This Row],[Discount%]])</f>
        <v>7650</v>
      </c>
      <c r="J664" t="str" cm="1">
        <f t="array" aca="1" ref="J664" ca="1">INDEX(PaymentMethods[Payment Method],RANDBETWEEN(1,5))</f>
        <v>Net Banking</v>
      </c>
    </row>
    <row r="665" spans="1:10" x14ac:dyDescent="0.3">
      <c r="A665" t="str">
        <f t="shared" si="32"/>
        <v>O0664</v>
      </c>
      <c r="B665" s="6">
        <f ca="1">Orders[[#This Row],[Discount%]]</f>
        <v>0.01</v>
      </c>
      <c r="C665" t="str" cm="1">
        <f t="array" aca="1" ref="C665" ca="1">INDEX(Customers[Customer ID],RANDBETWEEN(1,200))</f>
        <v>C042</v>
      </c>
      <c r="D665" t="str" cm="1">
        <f t="array" aca="1" ref="D665" ca="1">INDEX(Products[Product ID],RANDBETWEEN(1,50))</f>
        <v>P045</v>
      </c>
      <c r="E665" t="str" cm="1">
        <f t="array" aca="1" ref="E665" ca="1">INDEX(Warehouses[Warehouse ID],RANDBETWEEN(1,8))</f>
        <v>W006</v>
      </c>
      <c r="F665">
        <f t="shared" ca="1" si="30"/>
        <v>8</v>
      </c>
      <c r="G665">
        <f ca="1">_xlfn.XLOOKUP(Orders[[#This Row],[Product ID]],Products[Product ID],Products[Selling Price])</f>
        <v>1500</v>
      </c>
      <c r="H665" s="6">
        <f t="shared" ca="1" si="31"/>
        <v>0.01</v>
      </c>
      <c r="I665">
        <f ca="1">Orders[[#This Row],[Quantity]]*Orders[[#This Row],[Unit Price]]*(1-Orders[[#This Row],[Discount%]])</f>
        <v>11880</v>
      </c>
      <c r="J665" t="str" cm="1">
        <f t="array" aca="1" ref="J665" ca="1">INDEX(PaymentMethods[Payment Method],RANDBETWEEN(1,5))</f>
        <v>Net Banking</v>
      </c>
    </row>
    <row r="666" spans="1:10" x14ac:dyDescent="0.3">
      <c r="A666" t="str">
        <f t="shared" si="32"/>
        <v>O0665</v>
      </c>
      <c r="B666" s="6">
        <f ca="1">Orders[[#This Row],[Discount%]]</f>
        <v>0.02</v>
      </c>
      <c r="C666" t="str" cm="1">
        <f t="array" aca="1" ref="C666" ca="1">INDEX(Customers[Customer ID],RANDBETWEEN(1,200))</f>
        <v>C145</v>
      </c>
      <c r="D666" t="str" cm="1">
        <f t="array" aca="1" ref="D666" ca="1">INDEX(Products[Product ID],RANDBETWEEN(1,50))</f>
        <v>P046</v>
      </c>
      <c r="E666" t="str" cm="1">
        <f t="array" aca="1" ref="E666" ca="1">INDEX(Warehouses[Warehouse ID],RANDBETWEEN(1,8))</f>
        <v>W007</v>
      </c>
      <c r="F666">
        <f t="shared" ca="1" si="30"/>
        <v>4</v>
      </c>
      <c r="G666">
        <f ca="1">_xlfn.XLOOKUP(Orders[[#This Row],[Product ID]],Products[Product ID],Products[Selling Price])</f>
        <v>2500</v>
      </c>
      <c r="H666" s="6">
        <f t="shared" ca="1" si="31"/>
        <v>0.02</v>
      </c>
      <c r="I666">
        <f ca="1">Orders[[#This Row],[Quantity]]*Orders[[#This Row],[Unit Price]]*(1-Orders[[#This Row],[Discount%]])</f>
        <v>9800</v>
      </c>
      <c r="J666" t="str" cm="1">
        <f t="array" aca="1" ref="J666" ca="1">INDEX(PaymentMethods[Payment Method],RANDBETWEEN(1,5))</f>
        <v>Net Banking</v>
      </c>
    </row>
    <row r="667" spans="1:10" x14ac:dyDescent="0.3">
      <c r="A667" t="str">
        <f t="shared" si="32"/>
        <v>O0666</v>
      </c>
      <c r="B667" s="6">
        <f ca="1">Orders[[#This Row],[Discount%]]</f>
        <v>0.1</v>
      </c>
      <c r="C667" t="str" cm="1">
        <f t="array" aca="1" ref="C667" ca="1">INDEX(Customers[Customer ID],RANDBETWEEN(1,200))</f>
        <v>C142</v>
      </c>
      <c r="D667" t="str" cm="1">
        <f t="array" aca="1" ref="D667" ca="1">INDEX(Products[Product ID],RANDBETWEEN(1,50))</f>
        <v>P012</v>
      </c>
      <c r="E667" t="str" cm="1">
        <f t="array" aca="1" ref="E667" ca="1">INDEX(Warehouses[Warehouse ID],RANDBETWEEN(1,8))</f>
        <v>W006</v>
      </c>
      <c r="F667">
        <f t="shared" ca="1" si="30"/>
        <v>5</v>
      </c>
      <c r="G667">
        <f ca="1">_xlfn.XLOOKUP(Orders[[#This Row],[Product ID]],Products[Product ID],Products[Selling Price])</f>
        <v>80</v>
      </c>
      <c r="H667" s="6">
        <f t="shared" ca="1" si="31"/>
        <v>0.1</v>
      </c>
      <c r="I667">
        <f ca="1">Orders[[#This Row],[Quantity]]*Orders[[#This Row],[Unit Price]]*(1-Orders[[#This Row],[Discount%]])</f>
        <v>360</v>
      </c>
      <c r="J667" t="str" cm="1">
        <f t="array" aca="1" ref="J667" ca="1">INDEX(PaymentMethods[Payment Method],RANDBETWEEN(1,5))</f>
        <v>UPI</v>
      </c>
    </row>
    <row r="668" spans="1:10" x14ac:dyDescent="0.3">
      <c r="A668" t="str">
        <f t="shared" si="32"/>
        <v>O0667</v>
      </c>
      <c r="B668" s="6">
        <f ca="1">Orders[[#This Row],[Discount%]]</f>
        <v>0.15</v>
      </c>
      <c r="C668" t="str" cm="1">
        <f t="array" aca="1" ref="C668" ca="1">INDEX(Customers[Customer ID],RANDBETWEEN(1,200))</f>
        <v>C139</v>
      </c>
      <c r="D668" t="str" cm="1">
        <f t="array" aca="1" ref="D668" ca="1">INDEX(Products[Product ID],RANDBETWEEN(1,50))</f>
        <v>P031</v>
      </c>
      <c r="E668" t="str" cm="1">
        <f t="array" aca="1" ref="E668" ca="1">INDEX(Warehouses[Warehouse ID],RANDBETWEEN(1,8))</f>
        <v>W001</v>
      </c>
      <c r="F668">
        <f t="shared" ca="1" si="30"/>
        <v>10</v>
      </c>
      <c r="G668">
        <f ca="1">_xlfn.XLOOKUP(Orders[[#This Row],[Product ID]],Products[Product ID],Products[Selling Price])</f>
        <v>90</v>
      </c>
      <c r="H668" s="6">
        <f t="shared" ca="1" si="31"/>
        <v>0.15</v>
      </c>
      <c r="I668">
        <f ca="1">Orders[[#This Row],[Quantity]]*Orders[[#This Row],[Unit Price]]*(1-Orders[[#This Row],[Discount%]])</f>
        <v>765</v>
      </c>
      <c r="J668" t="str" cm="1">
        <f t="array" aca="1" ref="J668" ca="1">INDEX(PaymentMethods[Payment Method],RANDBETWEEN(1,5))</f>
        <v>Debit Card</v>
      </c>
    </row>
    <row r="669" spans="1:10" x14ac:dyDescent="0.3">
      <c r="A669" t="str">
        <f t="shared" si="32"/>
        <v>O0668</v>
      </c>
      <c r="B669" s="6">
        <f ca="1">Orders[[#This Row],[Discount%]]</f>
        <v>0.15</v>
      </c>
      <c r="C669" t="str" cm="1">
        <f t="array" aca="1" ref="C669" ca="1">INDEX(Customers[Customer ID],RANDBETWEEN(1,200))</f>
        <v>C159</v>
      </c>
      <c r="D669" t="str" cm="1">
        <f t="array" aca="1" ref="D669" ca="1">INDEX(Products[Product ID],RANDBETWEEN(1,50))</f>
        <v>P027</v>
      </c>
      <c r="E669" t="str" cm="1">
        <f t="array" aca="1" ref="E669" ca="1">INDEX(Warehouses[Warehouse ID],RANDBETWEEN(1,8))</f>
        <v>W006</v>
      </c>
      <c r="F669">
        <f t="shared" ca="1" si="30"/>
        <v>5</v>
      </c>
      <c r="G669">
        <f ca="1">_xlfn.XLOOKUP(Orders[[#This Row],[Product ID]],Products[Product ID],Products[Selling Price])</f>
        <v>4000</v>
      </c>
      <c r="H669" s="6">
        <f t="shared" ca="1" si="31"/>
        <v>0.15</v>
      </c>
      <c r="I669">
        <f ca="1">Orders[[#This Row],[Quantity]]*Orders[[#This Row],[Unit Price]]*(1-Orders[[#This Row],[Discount%]])</f>
        <v>17000</v>
      </c>
      <c r="J669" t="str" cm="1">
        <f t="array" aca="1" ref="J669" ca="1">INDEX(PaymentMethods[Payment Method],RANDBETWEEN(1,5))</f>
        <v>Cash</v>
      </c>
    </row>
    <row r="670" spans="1:10" x14ac:dyDescent="0.3">
      <c r="A670" t="str">
        <f t="shared" si="32"/>
        <v>O0669</v>
      </c>
      <c r="B670" s="6">
        <f ca="1">Orders[[#This Row],[Discount%]]</f>
        <v>0.09</v>
      </c>
      <c r="C670" t="str" cm="1">
        <f t="array" aca="1" ref="C670" ca="1">INDEX(Customers[Customer ID],RANDBETWEEN(1,200))</f>
        <v>C167</v>
      </c>
      <c r="D670" t="str" cm="1">
        <f t="array" aca="1" ref="D670" ca="1">INDEX(Products[Product ID],RANDBETWEEN(1,50))</f>
        <v>P021</v>
      </c>
      <c r="E670" t="str" cm="1">
        <f t="array" aca="1" ref="E670" ca="1">INDEX(Warehouses[Warehouse ID],RANDBETWEEN(1,8))</f>
        <v>W002</v>
      </c>
      <c r="F670">
        <f t="shared" ca="1" si="30"/>
        <v>1</v>
      </c>
      <c r="G670">
        <f ca="1">_xlfn.XLOOKUP(Orders[[#This Row],[Product ID]],Products[Product ID],Products[Selling Price])</f>
        <v>22000</v>
      </c>
      <c r="H670" s="6">
        <f t="shared" ca="1" si="31"/>
        <v>0.09</v>
      </c>
      <c r="I670">
        <f ca="1">Orders[[#This Row],[Quantity]]*Orders[[#This Row],[Unit Price]]*(1-Orders[[#This Row],[Discount%]])</f>
        <v>20020</v>
      </c>
      <c r="J670" t="str" cm="1">
        <f t="array" aca="1" ref="J670" ca="1">INDEX(PaymentMethods[Payment Method],RANDBETWEEN(1,5))</f>
        <v>Credit Card</v>
      </c>
    </row>
    <row r="671" spans="1:10" x14ac:dyDescent="0.3">
      <c r="A671" t="str">
        <f t="shared" si="32"/>
        <v>O0670</v>
      </c>
      <c r="B671" s="6">
        <f ca="1">Orders[[#This Row],[Discount%]]</f>
        <v>0.02</v>
      </c>
      <c r="C671" t="str" cm="1">
        <f t="array" aca="1" ref="C671" ca="1">INDEX(Customers[Customer ID],RANDBETWEEN(1,200))</f>
        <v>C056</v>
      </c>
      <c r="D671" t="str" cm="1">
        <f t="array" aca="1" ref="D671" ca="1">INDEX(Products[Product ID],RANDBETWEEN(1,50))</f>
        <v>P036</v>
      </c>
      <c r="E671" t="str" cm="1">
        <f t="array" aca="1" ref="E671" ca="1">INDEX(Warehouses[Warehouse ID],RANDBETWEEN(1,8))</f>
        <v>W008</v>
      </c>
      <c r="F671">
        <f t="shared" ca="1" si="30"/>
        <v>10</v>
      </c>
      <c r="G671">
        <f ca="1">_xlfn.XLOOKUP(Orders[[#This Row],[Product ID]],Products[Product ID],Products[Selling Price])</f>
        <v>450</v>
      </c>
      <c r="H671" s="6">
        <f t="shared" ca="1" si="31"/>
        <v>0.02</v>
      </c>
      <c r="I671">
        <f ca="1">Orders[[#This Row],[Quantity]]*Orders[[#This Row],[Unit Price]]*(1-Orders[[#This Row],[Discount%]])</f>
        <v>4410</v>
      </c>
      <c r="J671" t="str" cm="1">
        <f t="array" aca="1" ref="J671" ca="1">INDEX(PaymentMethods[Payment Method],RANDBETWEEN(1,5))</f>
        <v>Credit Card</v>
      </c>
    </row>
    <row r="672" spans="1:10" x14ac:dyDescent="0.3">
      <c r="A672" t="str">
        <f t="shared" si="32"/>
        <v>O0671</v>
      </c>
      <c r="B672" s="6">
        <f ca="1">Orders[[#This Row],[Discount%]]</f>
        <v>0.12</v>
      </c>
      <c r="C672" t="str" cm="1">
        <f t="array" aca="1" ref="C672" ca="1">INDEX(Customers[Customer ID],RANDBETWEEN(1,200))</f>
        <v>C118</v>
      </c>
      <c r="D672" t="str" cm="1">
        <f t="array" aca="1" ref="D672" ca="1">INDEX(Products[Product ID],RANDBETWEEN(1,50))</f>
        <v>P016</v>
      </c>
      <c r="E672" t="str" cm="1">
        <f t="array" aca="1" ref="E672" ca="1">INDEX(Warehouses[Warehouse ID],RANDBETWEEN(1,8))</f>
        <v>W008</v>
      </c>
      <c r="F672">
        <f t="shared" ca="1" si="30"/>
        <v>6</v>
      </c>
      <c r="G672">
        <f ca="1">_xlfn.XLOOKUP(Orders[[#This Row],[Product ID]],Products[Product ID],Products[Selling Price])</f>
        <v>2500</v>
      </c>
      <c r="H672" s="6">
        <f t="shared" ca="1" si="31"/>
        <v>0.12</v>
      </c>
      <c r="I672">
        <f ca="1">Orders[[#This Row],[Quantity]]*Orders[[#This Row],[Unit Price]]*(1-Orders[[#This Row],[Discount%]])</f>
        <v>13200</v>
      </c>
      <c r="J672" t="str" cm="1">
        <f t="array" aca="1" ref="J672" ca="1">INDEX(PaymentMethods[Payment Method],RANDBETWEEN(1,5))</f>
        <v>Credit Card</v>
      </c>
    </row>
    <row r="673" spans="1:10" x14ac:dyDescent="0.3">
      <c r="A673" t="str">
        <f t="shared" si="32"/>
        <v>O0672</v>
      </c>
      <c r="B673" s="6">
        <f ca="1">Orders[[#This Row],[Discount%]]</f>
        <v>0.01</v>
      </c>
      <c r="C673" t="str" cm="1">
        <f t="array" aca="1" ref="C673" ca="1">INDEX(Customers[Customer ID],RANDBETWEEN(1,200))</f>
        <v>C172</v>
      </c>
      <c r="D673" t="str" cm="1">
        <f t="array" aca="1" ref="D673" ca="1">INDEX(Products[Product ID],RANDBETWEEN(1,50))</f>
        <v>P020</v>
      </c>
      <c r="E673" t="str" cm="1">
        <f t="array" aca="1" ref="E673" ca="1">INDEX(Warehouses[Warehouse ID],RANDBETWEEN(1,8))</f>
        <v>W005</v>
      </c>
      <c r="F673">
        <f t="shared" ca="1" si="30"/>
        <v>6</v>
      </c>
      <c r="G673">
        <f ca="1">_xlfn.XLOOKUP(Orders[[#This Row],[Product ID]],Products[Product ID],Products[Selling Price])</f>
        <v>450</v>
      </c>
      <c r="H673" s="6">
        <f t="shared" ca="1" si="31"/>
        <v>0.01</v>
      </c>
      <c r="I673">
        <f ca="1">Orders[[#This Row],[Quantity]]*Orders[[#This Row],[Unit Price]]*(1-Orders[[#This Row],[Discount%]])</f>
        <v>2673</v>
      </c>
      <c r="J673" t="str" cm="1">
        <f t="array" aca="1" ref="J673" ca="1">INDEX(PaymentMethods[Payment Method],RANDBETWEEN(1,5))</f>
        <v>Credit Card</v>
      </c>
    </row>
    <row r="674" spans="1:10" x14ac:dyDescent="0.3">
      <c r="A674" t="str">
        <f t="shared" si="32"/>
        <v>O0673</v>
      </c>
      <c r="B674" s="6">
        <f ca="1">Orders[[#This Row],[Discount%]]</f>
        <v>0.04</v>
      </c>
      <c r="C674" t="str" cm="1">
        <f t="array" aca="1" ref="C674" ca="1">INDEX(Customers[Customer ID],RANDBETWEEN(1,200))</f>
        <v>C091</v>
      </c>
      <c r="D674" t="str" cm="1">
        <f t="array" aca="1" ref="D674" ca="1">INDEX(Products[Product ID],RANDBETWEEN(1,50))</f>
        <v>P043</v>
      </c>
      <c r="E674" t="str" cm="1">
        <f t="array" aca="1" ref="E674" ca="1">INDEX(Warehouses[Warehouse ID],RANDBETWEEN(1,8))</f>
        <v>W001</v>
      </c>
      <c r="F674">
        <f t="shared" ca="1" si="30"/>
        <v>9</v>
      </c>
      <c r="G674">
        <f ca="1">_xlfn.XLOOKUP(Orders[[#This Row],[Product ID]],Products[Product ID],Products[Selling Price])</f>
        <v>24500</v>
      </c>
      <c r="H674" s="6">
        <f t="shared" ca="1" si="31"/>
        <v>0.04</v>
      </c>
      <c r="I674">
        <f ca="1">Orders[[#This Row],[Quantity]]*Orders[[#This Row],[Unit Price]]*(1-Orders[[#This Row],[Discount%]])</f>
        <v>211680</v>
      </c>
      <c r="J674" t="str" cm="1">
        <f t="array" aca="1" ref="J674" ca="1">INDEX(PaymentMethods[Payment Method],RANDBETWEEN(1,5))</f>
        <v>Debit Card</v>
      </c>
    </row>
    <row r="675" spans="1:10" x14ac:dyDescent="0.3">
      <c r="A675" t="str">
        <f t="shared" si="32"/>
        <v>O0674</v>
      </c>
      <c r="B675" s="6">
        <f ca="1">Orders[[#This Row],[Discount%]]</f>
        <v>0.01</v>
      </c>
      <c r="C675" t="str" cm="1">
        <f t="array" aca="1" ref="C675" ca="1">INDEX(Customers[Customer ID],RANDBETWEEN(1,200))</f>
        <v>C027</v>
      </c>
      <c r="D675" t="str" cm="1">
        <f t="array" aca="1" ref="D675" ca="1">INDEX(Products[Product ID],RANDBETWEEN(1,50))</f>
        <v>P001</v>
      </c>
      <c r="E675" t="str" cm="1">
        <f t="array" aca="1" ref="E675" ca="1">INDEX(Warehouses[Warehouse ID],RANDBETWEEN(1,8))</f>
        <v>W006</v>
      </c>
      <c r="F675">
        <f t="shared" ca="1" si="30"/>
        <v>9</v>
      </c>
      <c r="G675">
        <f ca="1">_xlfn.XLOOKUP(Orders[[#This Row],[Product ID]],Products[Product ID],Products[Selling Price])</f>
        <v>42000</v>
      </c>
      <c r="H675" s="6">
        <f t="shared" ca="1" si="31"/>
        <v>0.01</v>
      </c>
      <c r="I675">
        <f ca="1">Orders[[#This Row],[Quantity]]*Orders[[#This Row],[Unit Price]]*(1-Orders[[#This Row],[Discount%]])</f>
        <v>374220</v>
      </c>
      <c r="J675" t="str" cm="1">
        <f t="array" aca="1" ref="J675" ca="1">INDEX(PaymentMethods[Payment Method],RANDBETWEEN(1,5))</f>
        <v>Cash</v>
      </c>
    </row>
    <row r="676" spans="1:10" x14ac:dyDescent="0.3">
      <c r="A676" t="str">
        <f t="shared" si="32"/>
        <v>O0675</v>
      </c>
      <c r="B676" s="6">
        <f ca="1">Orders[[#This Row],[Discount%]]</f>
        <v>0.02</v>
      </c>
      <c r="C676" t="str" cm="1">
        <f t="array" aca="1" ref="C676" ca="1">INDEX(Customers[Customer ID],RANDBETWEEN(1,200))</f>
        <v>C011</v>
      </c>
      <c r="D676" t="str" cm="1">
        <f t="array" aca="1" ref="D676" ca="1">INDEX(Products[Product ID],RANDBETWEEN(1,50))</f>
        <v>P023</v>
      </c>
      <c r="E676" t="str" cm="1">
        <f t="array" aca="1" ref="E676" ca="1">INDEX(Warehouses[Warehouse ID],RANDBETWEEN(1,8))</f>
        <v>W006</v>
      </c>
      <c r="F676">
        <f t="shared" ca="1" si="30"/>
        <v>2</v>
      </c>
      <c r="G676">
        <f ca="1">_xlfn.XLOOKUP(Orders[[#This Row],[Product ID]],Products[Product ID],Products[Selling Price])</f>
        <v>2300</v>
      </c>
      <c r="H676" s="6">
        <f t="shared" ca="1" si="31"/>
        <v>0.02</v>
      </c>
      <c r="I676">
        <f ca="1">Orders[[#This Row],[Quantity]]*Orders[[#This Row],[Unit Price]]*(1-Orders[[#This Row],[Discount%]])</f>
        <v>4508</v>
      </c>
      <c r="J676" t="str" cm="1">
        <f t="array" aca="1" ref="J676" ca="1">INDEX(PaymentMethods[Payment Method],RANDBETWEEN(1,5))</f>
        <v>Net Banking</v>
      </c>
    </row>
    <row r="677" spans="1:10" x14ac:dyDescent="0.3">
      <c r="A677" t="str">
        <f t="shared" si="32"/>
        <v>O0676</v>
      </c>
      <c r="B677" s="6">
        <f ca="1">Orders[[#This Row],[Discount%]]</f>
        <v>0.06</v>
      </c>
      <c r="C677" t="str" cm="1">
        <f t="array" aca="1" ref="C677" ca="1">INDEX(Customers[Customer ID],RANDBETWEEN(1,200))</f>
        <v>C025</v>
      </c>
      <c r="D677" t="str" cm="1">
        <f t="array" aca="1" ref="D677" ca="1">INDEX(Products[Product ID],RANDBETWEEN(1,50))</f>
        <v>P026</v>
      </c>
      <c r="E677" t="str" cm="1">
        <f t="array" aca="1" ref="E677" ca="1">INDEX(Warehouses[Warehouse ID],RANDBETWEEN(1,8))</f>
        <v>W004</v>
      </c>
      <c r="F677">
        <f t="shared" ca="1" si="30"/>
        <v>10</v>
      </c>
      <c r="G677">
        <f ca="1">_xlfn.XLOOKUP(Orders[[#This Row],[Product ID]],Products[Product ID],Products[Selling Price])</f>
        <v>650</v>
      </c>
      <c r="H677" s="6">
        <f t="shared" ca="1" si="31"/>
        <v>0.06</v>
      </c>
      <c r="I677">
        <f ca="1">Orders[[#This Row],[Quantity]]*Orders[[#This Row],[Unit Price]]*(1-Orders[[#This Row],[Discount%]])</f>
        <v>6110</v>
      </c>
      <c r="J677" t="str" cm="1">
        <f t="array" aca="1" ref="J677" ca="1">INDEX(PaymentMethods[Payment Method],RANDBETWEEN(1,5))</f>
        <v>Net Banking</v>
      </c>
    </row>
    <row r="678" spans="1:10" x14ac:dyDescent="0.3">
      <c r="A678" t="str">
        <f t="shared" si="32"/>
        <v>O0677</v>
      </c>
      <c r="B678" s="6">
        <f ca="1">Orders[[#This Row],[Discount%]]</f>
        <v>0.01</v>
      </c>
      <c r="C678" t="str" cm="1">
        <f t="array" aca="1" ref="C678" ca="1">INDEX(Customers[Customer ID],RANDBETWEEN(1,200))</f>
        <v>C116</v>
      </c>
      <c r="D678" t="str" cm="1">
        <f t="array" aca="1" ref="D678" ca="1">INDEX(Products[Product ID],RANDBETWEEN(1,50))</f>
        <v>P027</v>
      </c>
      <c r="E678" t="str" cm="1">
        <f t="array" aca="1" ref="E678" ca="1">INDEX(Warehouses[Warehouse ID],RANDBETWEEN(1,8))</f>
        <v>W008</v>
      </c>
      <c r="F678">
        <f t="shared" ca="1" si="30"/>
        <v>5</v>
      </c>
      <c r="G678">
        <f ca="1">_xlfn.XLOOKUP(Orders[[#This Row],[Product ID]],Products[Product ID],Products[Selling Price])</f>
        <v>4000</v>
      </c>
      <c r="H678" s="6">
        <f t="shared" ca="1" si="31"/>
        <v>0.01</v>
      </c>
      <c r="I678">
        <f ca="1">Orders[[#This Row],[Quantity]]*Orders[[#This Row],[Unit Price]]*(1-Orders[[#This Row],[Discount%]])</f>
        <v>19800</v>
      </c>
      <c r="J678" t="str" cm="1">
        <f t="array" aca="1" ref="J678" ca="1">INDEX(PaymentMethods[Payment Method],RANDBETWEEN(1,5))</f>
        <v>Net Banking</v>
      </c>
    </row>
    <row r="679" spans="1:10" x14ac:dyDescent="0.3">
      <c r="A679" t="str">
        <f t="shared" si="32"/>
        <v>O0678</v>
      </c>
      <c r="B679" s="6">
        <f ca="1">Orders[[#This Row],[Discount%]]</f>
        <v>0.16</v>
      </c>
      <c r="C679" t="str" cm="1">
        <f t="array" aca="1" ref="C679" ca="1">INDEX(Customers[Customer ID],RANDBETWEEN(1,200))</f>
        <v>C128</v>
      </c>
      <c r="D679" t="str" cm="1">
        <f t="array" aca="1" ref="D679" ca="1">INDEX(Products[Product ID],RANDBETWEEN(1,50))</f>
        <v>P030</v>
      </c>
      <c r="E679" t="str" cm="1">
        <f t="array" aca="1" ref="E679" ca="1">INDEX(Warehouses[Warehouse ID],RANDBETWEEN(1,8))</f>
        <v>W001</v>
      </c>
      <c r="F679">
        <f t="shared" ca="1" si="30"/>
        <v>1</v>
      </c>
      <c r="G679">
        <f ca="1">_xlfn.XLOOKUP(Orders[[#This Row],[Product ID]],Products[Product ID],Products[Selling Price])</f>
        <v>4800</v>
      </c>
      <c r="H679" s="6">
        <f t="shared" ca="1" si="31"/>
        <v>0.16</v>
      </c>
      <c r="I679">
        <f ca="1">Orders[[#This Row],[Quantity]]*Orders[[#This Row],[Unit Price]]*(1-Orders[[#This Row],[Discount%]])</f>
        <v>4032</v>
      </c>
      <c r="J679" t="str" cm="1">
        <f t="array" aca="1" ref="J679" ca="1">INDEX(PaymentMethods[Payment Method],RANDBETWEEN(1,5))</f>
        <v>Debit Card</v>
      </c>
    </row>
    <row r="680" spans="1:10" x14ac:dyDescent="0.3">
      <c r="A680" t="str">
        <f t="shared" si="32"/>
        <v>O0679</v>
      </c>
      <c r="B680" s="6">
        <f ca="1">Orders[[#This Row],[Discount%]]</f>
        <v>0.19</v>
      </c>
      <c r="C680" t="str" cm="1">
        <f t="array" aca="1" ref="C680" ca="1">INDEX(Customers[Customer ID],RANDBETWEEN(1,200))</f>
        <v>C001</v>
      </c>
      <c r="D680" t="str" cm="1">
        <f t="array" aca="1" ref="D680" ca="1">INDEX(Products[Product ID],RANDBETWEEN(1,50))</f>
        <v>P017</v>
      </c>
      <c r="E680" t="str" cm="1">
        <f t="array" aca="1" ref="E680" ca="1">INDEX(Warehouses[Warehouse ID],RANDBETWEEN(1,8))</f>
        <v>W001</v>
      </c>
      <c r="F680">
        <f t="shared" ca="1" si="30"/>
        <v>4</v>
      </c>
      <c r="G680">
        <f ca="1">_xlfn.XLOOKUP(Orders[[#This Row],[Product ID]],Products[Product ID],Products[Selling Price])</f>
        <v>650</v>
      </c>
      <c r="H680" s="6">
        <f t="shared" ca="1" si="31"/>
        <v>0.19</v>
      </c>
      <c r="I680">
        <f ca="1">Orders[[#This Row],[Quantity]]*Orders[[#This Row],[Unit Price]]*(1-Orders[[#This Row],[Discount%]])</f>
        <v>2106</v>
      </c>
      <c r="J680" t="str" cm="1">
        <f t="array" aca="1" ref="J680" ca="1">INDEX(PaymentMethods[Payment Method],RANDBETWEEN(1,5))</f>
        <v>UPI</v>
      </c>
    </row>
    <row r="681" spans="1:10" x14ac:dyDescent="0.3">
      <c r="A681" t="str">
        <f t="shared" si="32"/>
        <v>O0680</v>
      </c>
      <c r="B681" s="6">
        <f ca="1">Orders[[#This Row],[Discount%]]</f>
        <v>0.15</v>
      </c>
      <c r="C681" t="str" cm="1">
        <f t="array" aca="1" ref="C681" ca="1">INDEX(Customers[Customer ID],RANDBETWEEN(1,200))</f>
        <v>C029</v>
      </c>
      <c r="D681" t="str" cm="1">
        <f t="array" aca="1" ref="D681" ca="1">INDEX(Products[Product ID],RANDBETWEEN(1,50))</f>
        <v>P017</v>
      </c>
      <c r="E681" t="str" cm="1">
        <f t="array" aca="1" ref="E681" ca="1">INDEX(Warehouses[Warehouse ID],RANDBETWEEN(1,8))</f>
        <v>W008</v>
      </c>
      <c r="F681">
        <f t="shared" ca="1" si="30"/>
        <v>10</v>
      </c>
      <c r="G681">
        <f ca="1">_xlfn.XLOOKUP(Orders[[#This Row],[Product ID]],Products[Product ID],Products[Selling Price])</f>
        <v>650</v>
      </c>
      <c r="H681" s="6">
        <f t="shared" ca="1" si="31"/>
        <v>0.15</v>
      </c>
      <c r="I681">
        <f ca="1">Orders[[#This Row],[Quantity]]*Orders[[#This Row],[Unit Price]]*(1-Orders[[#This Row],[Discount%]])</f>
        <v>5525</v>
      </c>
      <c r="J681" t="str" cm="1">
        <f t="array" aca="1" ref="J681" ca="1">INDEX(PaymentMethods[Payment Method],RANDBETWEEN(1,5))</f>
        <v>UPI</v>
      </c>
    </row>
    <row r="682" spans="1:10" x14ac:dyDescent="0.3">
      <c r="A682" t="str">
        <f t="shared" si="32"/>
        <v>O0681</v>
      </c>
      <c r="B682" s="6">
        <f ca="1">Orders[[#This Row],[Discount%]]</f>
        <v>0.04</v>
      </c>
      <c r="C682" t="str" cm="1">
        <f t="array" aca="1" ref="C682" ca="1">INDEX(Customers[Customer ID],RANDBETWEEN(1,200))</f>
        <v>C103</v>
      </c>
      <c r="D682" t="str" cm="1">
        <f t="array" aca="1" ref="D682" ca="1">INDEX(Products[Product ID],RANDBETWEEN(1,50))</f>
        <v>P043</v>
      </c>
      <c r="E682" t="str" cm="1">
        <f t="array" aca="1" ref="E682" ca="1">INDEX(Warehouses[Warehouse ID],RANDBETWEEN(1,8))</f>
        <v>W002</v>
      </c>
      <c r="F682">
        <f t="shared" ca="1" si="30"/>
        <v>8</v>
      </c>
      <c r="G682">
        <f ca="1">_xlfn.XLOOKUP(Orders[[#This Row],[Product ID]],Products[Product ID],Products[Selling Price])</f>
        <v>24500</v>
      </c>
      <c r="H682" s="6">
        <f t="shared" ca="1" si="31"/>
        <v>0.04</v>
      </c>
      <c r="I682">
        <f ca="1">Orders[[#This Row],[Quantity]]*Orders[[#This Row],[Unit Price]]*(1-Orders[[#This Row],[Discount%]])</f>
        <v>188160</v>
      </c>
      <c r="J682" t="str" cm="1">
        <f t="array" aca="1" ref="J682" ca="1">INDEX(PaymentMethods[Payment Method],RANDBETWEEN(1,5))</f>
        <v>UPI</v>
      </c>
    </row>
    <row r="683" spans="1:10" x14ac:dyDescent="0.3">
      <c r="A683" t="str">
        <f t="shared" si="32"/>
        <v>O0682</v>
      </c>
      <c r="B683" s="6">
        <f ca="1">Orders[[#This Row],[Discount%]]</f>
        <v>0.17</v>
      </c>
      <c r="C683" t="str" cm="1">
        <f t="array" aca="1" ref="C683" ca="1">INDEX(Customers[Customer ID],RANDBETWEEN(1,200))</f>
        <v>C195</v>
      </c>
      <c r="D683" t="str" cm="1">
        <f t="array" aca="1" ref="D683" ca="1">INDEX(Products[Product ID],RANDBETWEEN(1,50))</f>
        <v>P020</v>
      </c>
      <c r="E683" t="str" cm="1">
        <f t="array" aca="1" ref="E683" ca="1">INDEX(Warehouses[Warehouse ID],RANDBETWEEN(1,8))</f>
        <v>W007</v>
      </c>
      <c r="F683">
        <f t="shared" ca="1" si="30"/>
        <v>3</v>
      </c>
      <c r="G683">
        <f ca="1">_xlfn.XLOOKUP(Orders[[#This Row],[Product ID]],Products[Product ID],Products[Selling Price])</f>
        <v>450</v>
      </c>
      <c r="H683" s="6">
        <f t="shared" ca="1" si="31"/>
        <v>0.17</v>
      </c>
      <c r="I683">
        <f ca="1">Orders[[#This Row],[Quantity]]*Orders[[#This Row],[Unit Price]]*(1-Orders[[#This Row],[Discount%]])</f>
        <v>1120.5</v>
      </c>
      <c r="J683" t="str" cm="1">
        <f t="array" aca="1" ref="J683" ca="1">INDEX(PaymentMethods[Payment Method],RANDBETWEEN(1,5))</f>
        <v>Cash</v>
      </c>
    </row>
    <row r="684" spans="1:10" x14ac:dyDescent="0.3">
      <c r="A684" t="str">
        <f t="shared" si="32"/>
        <v>O0683</v>
      </c>
      <c r="B684" s="6">
        <f ca="1">Orders[[#This Row],[Discount%]]</f>
        <v>0</v>
      </c>
      <c r="C684" t="str" cm="1">
        <f t="array" aca="1" ref="C684" ca="1">INDEX(Customers[Customer ID],RANDBETWEEN(1,200))</f>
        <v>C074</v>
      </c>
      <c r="D684" t="str" cm="1">
        <f t="array" aca="1" ref="D684" ca="1">INDEX(Products[Product ID],RANDBETWEEN(1,50))</f>
        <v>P021</v>
      </c>
      <c r="E684" t="str" cm="1">
        <f t="array" aca="1" ref="E684" ca="1">INDEX(Warehouses[Warehouse ID],RANDBETWEEN(1,8))</f>
        <v>W001</v>
      </c>
      <c r="F684">
        <f t="shared" ca="1" si="30"/>
        <v>4</v>
      </c>
      <c r="G684">
        <f ca="1">_xlfn.XLOOKUP(Orders[[#This Row],[Product ID]],Products[Product ID],Products[Selling Price])</f>
        <v>22000</v>
      </c>
      <c r="H684" s="6">
        <f t="shared" ca="1" si="31"/>
        <v>0</v>
      </c>
      <c r="I684">
        <f ca="1">Orders[[#This Row],[Quantity]]*Orders[[#This Row],[Unit Price]]*(1-Orders[[#This Row],[Discount%]])</f>
        <v>88000</v>
      </c>
      <c r="J684" t="str" cm="1">
        <f t="array" aca="1" ref="J684" ca="1">INDEX(PaymentMethods[Payment Method],RANDBETWEEN(1,5))</f>
        <v>Cash</v>
      </c>
    </row>
    <row r="685" spans="1:10" x14ac:dyDescent="0.3">
      <c r="A685" t="str">
        <f t="shared" si="32"/>
        <v>O0684</v>
      </c>
      <c r="B685" s="6">
        <f ca="1">Orders[[#This Row],[Discount%]]</f>
        <v>0.16</v>
      </c>
      <c r="C685" t="str" cm="1">
        <f t="array" aca="1" ref="C685" ca="1">INDEX(Customers[Customer ID],RANDBETWEEN(1,200))</f>
        <v>C069</v>
      </c>
      <c r="D685" t="str" cm="1">
        <f t="array" aca="1" ref="D685" ca="1">INDEX(Products[Product ID],RANDBETWEEN(1,50))</f>
        <v>P022</v>
      </c>
      <c r="E685" t="str" cm="1">
        <f t="array" aca="1" ref="E685" ca="1">INDEX(Warehouses[Warehouse ID],RANDBETWEEN(1,8))</f>
        <v>W003</v>
      </c>
      <c r="F685">
        <f t="shared" ca="1" si="30"/>
        <v>1</v>
      </c>
      <c r="G685">
        <f ca="1">_xlfn.XLOOKUP(Orders[[#This Row],[Product ID]],Products[Product ID],Products[Selling Price])</f>
        <v>5000</v>
      </c>
      <c r="H685" s="6">
        <f t="shared" ca="1" si="31"/>
        <v>0.16</v>
      </c>
      <c r="I685">
        <f ca="1">Orders[[#This Row],[Quantity]]*Orders[[#This Row],[Unit Price]]*(1-Orders[[#This Row],[Discount%]])</f>
        <v>4200</v>
      </c>
      <c r="J685" t="str" cm="1">
        <f t="array" aca="1" ref="J685" ca="1">INDEX(PaymentMethods[Payment Method],RANDBETWEEN(1,5))</f>
        <v>Credit Card</v>
      </c>
    </row>
    <row r="686" spans="1:10" x14ac:dyDescent="0.3">
      <c r="A686" t="str">
        <f t="shared" si="32"/>
        <v>O0685</v>
      </c>
      <c r="B686" s="6">
        <f ca="1">Orders[[#This Row],[Discount%]]</f>
        <v>0.2</v>
      </c>
      <c r="C686" t="str" cm="1">
        <f t="array" aca="1" ref="C686" ca="1">INDEX(Customers[Customer ID],RANDBETWEEN(1,200))</f>
        <v>C170</v>
      </c>
      <c r="D686" t="str" cm="1">
        <f t="array" aca="1" ref="D686" ca="1">INDEX(Products[Product ID],RANDBETWEEN(1,50))</f>
        <v>P021</v>
      </c>
      <c r="E686" t="str" cm="1">
        <f t="array" aca="1" ref="E686" ca="1">INDEX(Warehouses[Warehouse ID],RANDBETWEEN(1,8))</f>
        <v>W002</v>
      </c>
      <c r="F686">
        <f t="shared" ca="1" si="30"/>
        <v>4</v>
      </c>
      <c r="G686">
        <f ca="1">_xlfn.XLOOKUP(Orders[[#This Row],[Product ID]],Products[Product ID],Products[Selling Price])</f>
        <v>22000</v>
      </c>
      <c r="H686" s="6">
        <f t="shared" ca="1" si="31"/>
        <v>0.2</v>
      </c>
      <c r="I686">
        <f ca="1">Orders[[#This Row],[Quantity]]*Orders[[#This Row],[Unit Price]]*(1-Orders[[#This Row],[Discount%]])</f>
        <v>70400</v>
      </c>
      <c r="J686" t="str" cm="1">
        <f t="array" aca="1" ref="J686" ca="1">INDEX(PaymentMethods[Payment Method],RANDBETWEEN(1,5))</f>
        <v>Debit Card</v>
      </c>
    </row>
    <row r="687" spans="1:10" x14ac:dyDescent="0.3">
      <c r="A687" t="str">
        <f t="shared" si="32"/>
        <v>O0686</v>
      </c>
      <c r="B687" s="6">
        <f ca="1">Orders[[#This Row],[Discount%]]</f>
        <v>0.06</v>
      </c>
      <c r="C687" t="str" cm="1">
        <f t="array" aca="1" ref="C687" ca="1">INDEX(Customers[Customer ID],RANDBETWEEN(1,200))</f>
        <v>C151</v>
      </c>
      <c r="D687" t="str" cm="1">
        <f t="array" aca="1" ref="D687" ca="1">INDEX(Products[Product ID],RANDBETWEEN(1,50))</f>
        <v>P004</v>
      </c>
      <c r="E687" t="str" cm="1">
        <f t="array" aca="1" ref="E687" ca="1">INDEX(Warehouses[Warehouse ID],RANDBETWEEN(1,8))</f>
        <v>W002</v>
      </c>
      <c r="F687">
        <f t="shared" ca="1" si="30"/>
        <v>4</v>
      </c>
      <c r="G687">
        <f ca="1">_xlfn.XLOOKUP(Orders[[#This Row],[Product ID]],Products[Product ID],Products[Selling Price])</f>
        <v>9000</v>
      </c>
      <c r="H687" s="6">
        <f t="shared" ca="1" si="31"/>
        <v>0.06</v>
      </c>
      <c r="I687">
        <f ca="1">Orders[[#This Row],[Quantity]]*Orders[[#This Row],[Unit Price]]*(1-Orders[[#This Row],[Discount%]])</f>
        <v>33840</v>
      </c>
      <c r="J687" t="str" cm="1">
        <f t="array" aca="1" ref="J687" ca="1">INDEX(PaymentMethods[Payment Method],RANDBETWEEN(1,5))</f>
        <v>Cash</v>
      </c>
    </row>
    <row r="688" spans="1:10" x14ac:dyDescent="0.3">
      <c r="A688" t="str">
        <f t="shared" si="32"/>
        <v>O0687</v>
      </c>
      <c r="B688" s="6">
        <f ca="1">Orders[[#This Row],[Discount%]]</f>
        <v>0.04</v>
      </c>
      <c r="C688" t="str" cm="1">
        <f t="array" aca="1" ref="C688" ca="1">INDEX(Customers[Customer ID],RANDBETWEEN(1,200))</f>
        <v>C137</v>
      </c>
      <c r="D688" t="str" cm="1">
        <f t="array" aca="1" ref="D688" ca="1">INDEX(Products[Product ID],RANDBETWEEN(1,50))</f>
        <v>P043</v>
      </c>
      <c r="E688" t="str" cm="1">
        <f t="array" aca="1" ref="E688" ca="1">INDEX(Warehouses[Warehouse ID],RANDBETWEEN(1,8))</f>
        <v>W003</v>
      </c>
      <c r="F688">
        <f t="shared" ca="1" si="30"/>
        <v>6</v>
      </c>
      <c r="G688">
        <f ca="1">_xlfn.XLOOKUP(Orders[[#This Row],[Product ID]],Products[Product ID],Products[Selling Price])</f>
        <v>24500</v>
      </c>
      <c r="H688" s="6">
        <f t="shared" ca="1" si="31"/>
        <v>0.04</v>
      </c>
      <c r="I688">
        <f ca="1">Orders[[#This Row],[Quantity]]*Orders[[#This Row],[Unit Price]]*(1-Orders[[#This Row],[Discount%]])</f>
        <v>141120</v>
      </c>
      <c r="J688" t="str" cm="1">
        <f t="array" aca="1" ref="J688" ca="1">INDEX(PaymentMethods[Payment Method],RANDBETWEEN(1,5))</f>
        <v>Cash</v>
      </c>
    </row>
    <row r="689" spans="1:10" x14ac:dyDescent="0.3">
      <c r="A689" t="str">
        <f t="shared" si="32"/>
        <v>O0688</v>
      </c>
      <c r="B689" s="6">
        <f ca="1">Orders[[#This Row],[Discount%]]</f>
        <v>0.12</v>
      </c>
      <c r="C689" t="str" cm="1">
        <f t="array" aca="1" ref="C689" ca="1">INDEX(Customers[Customer ID],RANDBETWEEN(1,200))</f>
        <v>C074</v>
      </c>
      <c r="D689" t="str" cm="1">
        <f t="array" aca="1" ref="D689" ca="1">INDEX(Products[Product ID],RANDBETWEEN(1,50))</f>
        <v>P035</v>
      </c>
      <c r="E689" t="str" cm="1">
        <f t="array" aca="1" ref="E689" ca="1">INDEX(Warehouses[Warehouse ID],RANDBETWEEN(1,8))</f>
        <v>W003</v>
      </c>
      <c r="F689">
        <f t="shared" ca="1" si="30"/>
        <v>4</v>
      </c>
      <c r="G689">
        <f ca="1">_xlfn.XLOOKUP(Orders[[#This Row],[Product ID]],Products[Product ID],Products[Selling Price])</f>
        <v>300</v>
      </c>
      <c r="H689" s="6">
        <f t="shared" ca="1" si="31"/>
        <v>0.12</v>
      </c>
      <c r="I689">
        <f ca="1">Orders[[#This Row],[Quantity]]*Orders[[#This Row],[Unit Price]]*(1-Orders[[#This Row],[Discount%]])</f>
        <v>1056</v>
      </c>
      <c r="J689" t="str" cm="1">
        <f t="array" aca="1" ref="J689" ca="1">INDEX(PaymentMethods[Payment Method],RANDBETWEEN(1,5))</f>
        <v>Debit Card</v>
      </c>
    </row>
    <row r="690" spans="1:10" x14ac:dyDescent="0.3">
      <c r="A690" t="str">
        <f t="shared" si="32"/>
        <v>O0689</v>
      </c>
      <c r="B690" s="6">
        <f ca="1">Orders[[#This Row],[Discount%]]</f>
        <v>0.18</v>
      </c>
      <c r="C690" t="str" cm="1">
        <f t="array" aca="1" ref="C690" ca="1">INDEX(Customers[Customer ID],RANDBETWEEN(1,200))</f>
        <v>C028</v>
      </c>
      <c r="D690" t="str" cm="1">
        <f t="array" aca="1" ref="D690" ca="1">INDEX(Products[Product ID],RANDBETWEEN(1,50))</f>
        <v>P049</v>
      </c>
      <c r="E690" t="str" cm="1">
        <f t="array" aca="1" ref="E690" ca="1">INDEX(Warehouses[Warehouse ID],RANDBETWEEN(1,8))</f>
        <v>W008</v>
      </c>
      <c r="F690">
        <f t="shared" ca="1" si="30"/>
        <v>7</v>
      </c>
      <c r="G690">
        <f ca="1">_xlfn.XLOOKUP(Orders[[#This Row],[Product ID]],Products[Product ID],Products[Selling Price])</f>
        <v>3800</v>
      </c>
      <c r="H690" s="6">
        <f t="shared" ca="1" si="31"/>
        <v>0.18</v>
      </c>
      <c r="I690">
        <f ca="1">Orders[[#This Row],[Quantity]]*Orders[[#This Row],[Unit Price]]*(1-Orders[[#This Row],[Discount%]])</f>
        <v>21812</v>
      </c>
      <c r="J690" t="str" cm="1">
        <f t="array" aca="1" ref="J690" ca="1">INDEX(PaymentMethods[Payment Method],RANDBETWEEN(1,5))</f>
        <v>Net Banking</v>
      </c>
    </row>
    <row r="691" spans="1:10" x14ac:dyDescent="0.3">
      <c r="A691" t="str">
        <f t="shared" si="32"/>
        <v>O0690</v>
      </c>
      <c r="B691" s="6">
        <f ca="1">Orders[[#This Row],[Discount%]]</f>
        <v>0.15</v>
      </c>
      <c r="C691" t="str" cm="1">
        <f t="array" aca="1" ref="C691" ca="1">INDEX(Customers[Customer ID],RANDBETWEEN(1,200))</f>
        <v>C180</v>
      </c>
      <c r="D691" t="str" cm="1">
        <f t="array" aca="1" ref="D691" ca="1">INDEX(Products[Product ID],RANDBETWEEN(1,50))</f>
        <v>P021</v>
      </c>
      <c r="E691" t="str" cm="1">
        <f t="array" aca="1" ref="E691" ca="1">INDEX(Warehouses[Warehouse ID],RANDBETWEEN(1,8))</f>
        <v>W001</v>
      </c>
      <c r="F691">
        <f t="shared" ca="1" si="30"/>
        <v>9</v>
      </c>
      <c r="G691">
        <f ca="1">_xlfn.XLOOKUP(Orders[[#This Row],[Product ID]],Products[Product ID],Products[Selling Price])</f>
        <v>22000</v>
      </c>
      <c r="H691" s="6">
        <f t="shared" ca="1" si="31"/>
        <v>0.15</v>
      </c>
      <c r="I691">
        <f ca="1">Orders[[#This Row],[Quantity]]*Orders[[#This Row],[Unit Price]]*(1-Orders[[#This Row],[Discount%]])</f>
        <v>168300</v>
      </c>
      <c r="J691" t="str" cm="1">
        <f t="array" aca="1" ref="J691" ca="1">INDEX(PaymentMethods[Payment Method],RANDBETWEEN(1,5))</f>
        <v>Net Banking</v>
      </c>
    </row>
    <row r="692" spans="1:10" x14ac:dyDescent="0.3">
      <c r="A692" t="str">
        <f t="shared" si="32"/>
        <v>O0691</v>
      </c>
      <c r="B692" s="6">
        <f ca="1">Orders[[#This Row],[Discount%]]</f>
        <v>0.18</v>
      </c>
      <c r="C692" t="str" cm="1">
        <f t="array" aca="1" ref="C692" ca="1">INDEX(Customers[Customer ID],RANDBETWEEN(1,200))</f>
        <v>C073</v>
      </c>
      <c r="D692" t="str" cm="1">
        <f t="array" aca="1" ref="D692" ca="1">INDEX(Products[Product ID],RANDBETWEEN(1,50))</f>
        <v>P008</v>
      </c>
      <c r="E692" t="str" cm="1">
        <f t="array" aca="1" ref="E692" ca="1">INDEX(Warehouses[Warehouse ID],RANDBETWEEN(1,8))</f>
        <v>W004</v>
      </c>
      <c r="F692">
        <f t="shared" ca="1" si="30"/>
        <v>8</v>
      </c>
      <c r="G692">
        <f ca="1">_xlfn.XLOOKUP(Orders[[#This Row],[Product ID]],Products[Product ID],Products[Selling Price])</f>
        <v>4200</v>
      </c>
      <c r="H692" s="6">
        <f t="shared" ca="1" si="31"/>
        <v>0.18</v>
      </c>
      <c r="I692">
        <f ca="1">Orders[[#This Row],[Quantity]]*Orders[[#This Row],[Unit Price]]*(1-Orders[[#This Row],[Discount%]])</f>
        <v>27552.000000000004</v>
      </c>
      <c r="J692" t="str" cm="1">
        <f t="array" aca="1" ref="J692" ca="1">INDEX(PaymentMethods[Payment Method],RANDBETWEEN(1,5))</f>
        <v>Debit Card</v>
      </c>
    </row>
    <row r="693" spans="1:10" x14ac:dyDescent="0.3">
      <c r="A693" t="str">
        <f t="shared" si="32"/>
        <v>O0692</v>
      </c>
      <c r="B693" s="6">
        <f ca="1">Orders[[#This Row],[Discount%]]</f>
        <v>0.16</v>
      </c>
      <c r="C693" t="str" cm="1">
        <f t="array" aca="1" ref="C693" ca="1">INDEX(Customers[Customer ID],RANDBETWEEN(1,200))</f>
        <v>C046</v>
      </c>
      <c r="D693" t="str" cm="1">
        <f t="array" aca="1" ref="D693" ca="1">INDEX(Products[Product ID],RANDBETWEEN(1,50))</f>
        <v>P018</v>
      </c>
      <c r="E693" t="str" cm="1">
        <f t="array" aca="1" ref="E693" ca="1">INDEX(Warehouses[Warehouse ID],RANDBETWEEN(1,8))</f>
        <v>W003</v>
      </c>
      <c r="F693">
        <f t="shared" ca="1" si="30"/>
        <v>10</v>
      </c>
      <c r="G693">
        <f ca="1">_xlfn.XLOOKUP(Orders[[#This Row],[Product ID]],Products[Product ID],Products[Selling Price])</f>
        <v>1500</v>
      </c>
      <c r="H693" s="6">
        <f t="shared" ca="1" si="31"/>
        <v>0.16</v>
      </c>
      <c r="I693">
        <f ca="1">Orders[[#This Row],[Quantity]]*Orders[[#This Row],[Unit Price]]*(1-Orders[[#This Row],[Discount%]])</f>
        <v>12600</v>
      </c>
      <c r="J693" t="str" cm="1">
        <f t="array" aca="1" ref="J693" ca="1">INDEX(PaymentMethods[Payment Method],RANDBETWEEN(1,5))</f>
        <v>UPI</v>
      </c>
    </row>
    <row r="694" spans="1:10" x14ac:dyDescent="0.3">
      <c r="A694" t="str">
        <f t="shared" si="32"/>
        <v>O0693</v>
      </c>
      <c r="B694" s="6">
        <f ca="1">Orders[[#This Row],[Discount%]]</f>
        <v>0.14000000000000001</v>
      </c>
      <c r="C694" t="str" cm="1">
        <f t="array" aca="1" ref="C694" ca="1">INDEX(Customers[Customer ID],RANDBETWEEN(1,200))</f>
        <v>C098</v>
      </c>
      <c r="D694" t="str" cm="1">
        <f t="array" aca="1" ref="D694" ca="1">INDEX(Products[Product ID],RANDBETWEEN(1,50))</f>
        <v>P041</v>
      </c>
      <c r="E694" t="str" cm="1">
        <f t="array" aca="1" ref="E694" ca="1">INDEX(Warehouses[Warehouse ID],RANDBETWEEN(1,8))</f>
        <v>W005</v>
      </c>
      <c r="F694">
        <f t="shared" ca="1" si="30"/>
        <v>5</v>
      </c>
      <c r="G694">
        <f ca="1">_xlfn.XLOOKUP(Orders[[#This Row],[Product ID]],Products[Product ID],Products[Selling Price])</f>
        <v>36000</v>
      </c>
      <c r="H694" s="6">
        <f t="shared" ca="1" si="31"/>
        <v>0.14000000000000001</v>
      </c>
      <c r="I694">
        <f ca="1">Orders[[#This Row],[Quantity]]*Orders[[#This Row],[Unit Price]]*(1-Orders[[#This Row],[Discount%]])</f>
        <v>154800</v>
      </c>
      <c r="J694" t="str" cm="1">
        <f t="array" aca="1" ref="J694" ca="1">INDEX(PaymentMethods[Payment Method],RANDBETWEEN(1,5))</f>
        <v>Net Banking</v>
      </c>
    </row>
    <row r="695" spans="1:10" x14ac:dyDescent="0.3">
      <c r="A695" t="str">
        <f t="shared" si="32"/>
        <v>O0694</v>
      </c>
      <c r="B695" s="6">
        <f ca="1">Orders[[#This Row],[Discount%]]</f>
        <v>0</v>
      </c>
      <c r="C695" t="str" cm="1">
        <f t="array" aca="1" ref="C695" ca="1">INDEX(Customers[Customer ID],RANDBETWEEN(1,200))</f>
        <v>C109</v>
      </c>
      <c r="D695" t="str" cm="1">
        <f t="array" aca="1" ref="D695" ca="1">INDEX(Products[Product ID],RANDBETWEEN(1,50))</f>
        <v>P006</v>
      </c>
      <c r="E695" t="str" cm="1">
        <f t="array" aca="1" ref="E695" ca="1">INDEX(Warehouses[Warehouse ID],RANDBETWEEN(1,8))</f>
        <v>W006</v>
      </c>
      <c r="F695">
        <f t="shared" ca="1" si="30"/>
        <v>8</v>
      </c>
      <c r="G695">
        <f ca="1">_xlfn.XLOOKUP(Orders[[#This Row],[Product ID]],Products[Product ID],Products[Selling Price])</f>
        <v>3500</v>
      </c>
      <c r="H695" s="6">
        <f t="shared" ca="1" si="31"/>
        <v>0</v>
      </c>
      <c r="I695">
        <f ca="1">Orders[[#This Row],[Quantity]]*Orders[[#This Row],[Unit Price]]*(1-Orders[[#This Row],[Discount%]])</f>
        <v>28000</v>
      </c>
      <c r="J695" t="str" cm="1">
        <f t="array" aca="1" ref="J695" ca="1">INDEX(PaymentMethods[Payment Method],RANDBETWEEN(1,5))</f>
        <v>Cash</v>
      </c>
    </row>
    <row r="696" spans="1:10" x14ac:dyDescent="0.3">
      <c r="A696" t="str">
        <f t="shared" si="32"/>
        <v>O0695</v>
      </c>
      <c r="B696" s="6">
        <f ca="1">Orders[[#This Row],[Discount%]]</f>
        <v>0.02</v>
      </c>
      <c r="C696" t="str" cm="1">
        <f t="array" aca="1" ref="C696" ca="1">INDEX(Customers[Customer ID],RANDBETWEEN(1,200))</f>
        <v>C056</v>
      </c>
      <c r="D696" t="str" cm="1">
        <f t="array" aca="1" ref="D696" ca="1">INDEX(Products[Product ID],RANDBETWEEN(1,50))</f>
        <v>P022</v>
      </c>
      <c r="E696" t="str" cm="1">
        <f t="array" aca="1" ref="E696" ca="1">INDEX(Warehouses[Warehouse ID],RANDBETWEEN(1,8))</f>
        <v>W004</v>
      </c>
      <c r="F696">
        <f t="shared" ca="1" si="30"/>
        <v>5</v>
      </c>
      <c r="G696">
        <f ca="1">_xlfn.XLOOKUP(Orders[[#This Row],[Product ID]],Products[Product ID],Products[Selling Price])</f>
        <v>5000</v>
      </c>
      <c r="H696" s="6">
        <f t="shared" ca="1" si="31"/>
        <v>0.02</v>
      </c>
      <c r="I696">
        <f ca="1">Orders[[#This Row],[Quantity]]*Orders[[#This Row],[Unit Price]]*(1-Orders[[#This Row],[Discount%]])</f>
        <v>24500</v>
      </c>
      <c r="J696" t="str" cm="1">
        <f t="array" aca="1" ref="J696" ca="1">INDEX(PaymentMethods[Payment Method],RANDBETWEEN(1,5))</f>
        <v>UPI</v>
      </c>
    </row>
    <row r="697" spans="1:10" x14ac:dyDescent="0.3">
      <c r="A697" t="str">
        <f t="shared" si="32"/>
        <v>O0696</v>
      </c>
      <c r="B697" s="6">
        <f ca="1">Orders[[#This Row],[Discount%]]</f>
        <v>0.13</v>
      </c>
      <c r="C697" t="str" cm="1">
        <f t="array" aca="1" ref="C697" ca="1">INDEX(Customers[Customer ID],RANDBETWEEN(1,200))</f>
        <v>C121</v>
      </c>
      <c r="D697" t="str" cm="1">
        <f t="array" aca="1" ref="D697" ca="1">INDEX(Products[Product ID],RANDBETWEEN(1,50))</f>
        <v>P050</v>
      </c>
      <c r="E697" t="str" cm="1">
        <f t="array" aca="1" ref="E697" ca="1">INDEX(Warehouses[Warehouse ID],RANDBETWEEN(1,8))</f>
        <v>W007</v>
      </c>
      <c r="F697">
        <f t="shared" ca="1" si="30"/>
        <v>3</v>
      </c>
      <c r="G697">
        <f ca="1">_xlfn.XLOOKUP(Orders[[#This Row],[Product ID]],Products[Product ID],Products[Selling Price])</f>
        <v>12000</v>
      </c>
      <c r="H697" s="6">
        <f t="shared" ca="1" si="31"/>
        <v>0.13</v>
      </c>
      <c r="I697">
        <f ca="1">Orders[[#This Row],[Quantity]]*Orders[[#This Row],[Unit Price]]*(1-Orders[[#This Row],[Discount%]])</f>
        <v>31320</v>
      </c>
      <c r="J697" t="str" cm="1">
        <f t="array" aca="1" ref="J697" ca="1">INDEX(PaymentMethods[Payment Method],RANDBETWEEN(1,5))</f>
        <v>Net Banking</v>
      </c>
    </row>
    <row r="698" spans="1:10" x14ac:dyDescent="0.3">
      <c r="A698" t="str">
        <f t="shared" si="32"/>
        <v>O0697</v>
      </c>
      <c r="B698" s="6">
        <f ca="1">Orders[[#This Row],[Discount%]]</f>
        <v>0.02</v>
      </c>
      <c r="C698" t="str" cm="1">
        <f t="array" aca="1" ref="C698" ca="1">INDEX(Customers[Customer ID],RANDBETWEEN(1,200))</f>
        <v>C181</v>
      </c>
      <c r="D698" t="str" cm="1">
        <f t="array" aca="1" ref="D698" ca="1">INDEX(Products[Product ID],RANDBETWEEN(1,50))</f>
        <v>P004</v>
      </c>
      <c r="E698" t="str" cm="1">
        <f t="array" aca="1" ref="E698" ca="1">INDEX(Warehouses[Warehouse ID],RANDBETWEEN(1,8))</f>
        <v>W007</v>
      </c>
      <c r="F698">
        <f t="shared" ca="1" si="30"/>
        <v>5</v>
      </c>
      <c r="G698">
        <f ca="1">_xlfn.XLOOKUP(Orders[[#This Row],[Product ID]],Products[Product ID],Products[Selling Price])</f>
        <v>9000</v>
      </c>
      <c r="H698" s="6">
        <f t="shared" ca="1" si="31"/>
        <v>0.02</v>
      </c>
      <c r="I698">
        <f ca="1">Orders[[#This Row],[Quantity]]*Orders[[#This Row],[Unit Price]]*(1-Orders[[#This Row],[Discount%]])</f>
        <v>44100</v>
      </c>
      <c r="J698" t="str" cm="1">
        <f t="array" aca="1" ref="J698" ca="1">INDEX(PaymentMethods[Payment Method],RANDBETWEEN(1,5))</f>
        <v>UPI</v>
      </c>
    </row>
    <row r="699" spans="1:10" x14ac:dyDescent="0.3">
      <c r="A699" t="str">
        <f t="shared" si="32"/>
        <v>O0698</v>
      </c>
      <c r="B699" s="6">
        <f ca="1">Orders[[#This Row],[Discount%]]</f>
        <v>0.08</v>
      </c>
      <c r="C699" t="str" cm="1">
        <f t="array" aca="1" ref="C699" ca="1">INDEX(Customers[Customer ID],RANDBETWEEN(1,200))</f>
        <v>C077</v>
      </c>
      <c r="D699" t="str" cm="1">
        <f t="array" aca="1" ref="D699" ca="1">INDEX(Products[Product ID],RANDBETWEEN(1,50))</f>
        <v>P026</v>
      </c>
      <c r="E699" t="str" cm="1">
        <f t="array" aca="1" ref="E699" ca="1">INDEX(Warehouses[Warehouse ID],RANDBETWEEN(1,8))</f>
        <v>W006</v>
      </c>
      <c r="F699">
        <f t="shared" ca="1" si="30"/>
        <v>10</v>
      </c>
      <c r="G699">
        <f ca="1">_xlfn.XLOOKUP(Orders[[#This Row],[Product ID]],Products[Product ID],Products[Selling Price])</f>
        <v>650</v>
      </c>
      <c r="H699" s="6">
        <f t="shared" ca="1" si="31"/>
        <v>0.08</v>
      </c>
      <c r="I699">
        <f ca="1">Orders[[#This Row],[Quantity]]*Orders[[#This Row],[Unit Price]]*(1-Orders[[#This Row],[Discount%]])</f>
        <v>5980</v>
      </c>
      <c r="J699" t="str" cm="1">
        <f t="array" aca="1" ref="J699" ca="1">INDEX(PaymentMethods[Payment Method],RANDBETWEEN(1,5))</f>
        <v>Debit Card</v>
      </c>
    </row>
    <row r="700" spans="1:10" x14ac:dyDescent="0.3">
      <c r="A700" t="str">
        <f t="shared" si="32"/>
        <v>O0699</v>
      </c>
      <c r="B700" s="6">
        <f ca="1">Orders[[#This Row],[Discount%]]</f>
        <v>0.12</v>
      </c>
      <c r="C700" t="str" cm="1">
        <f t="array" aca="1" ref="C700" ca="1">INDEX(Customers[Customer ID],RANDBETWEEN(1,200))</f>
        <v>C033</v>
      </c>
      <c r="D700" t="str" cm="1">
        <f t="array" aca="1" ref="D700" ca="1">INDEX(Products[Product ID],RANDBETWEEN(1,50))</f>
        <v>P009</v>
      </c>
      <c r="E700" t="str" cm="1">
        <f t="array" aca="1" ref="E700" ca="1">INDEX(Warehouses[Warehouse ID],RANDBETWEEN(1,8))</f>
        <v>W006</v>
      </c>
      <c r="F700">
        <f t="shared" ca="1" si="30"/>
        <v>7</v>
      </c>
      <c r="G700">
        <f ca="1">_xlfn.XLOOKUP(Orders[[#This Row],[Product ID]],Products[Product ID],Products[Selling Price])</f>
        <v>20000</v>
      </c>
      <c r="H700" s="6">
        <f t="shared" ca="1" si="31"/>
        <v>0.12</v>
      </c>
      <c r="I700">
        <f ca="1">Orders[[#This Row],[Quantity]]*Orders[[#This Row],[Unit Price]]*(1-Orders[[#This Row],[Discount%]])</f>
        <v>123200</v>
      </c>
      <c r="J700" t="str" cm="1">
        <f t="array" aca="1" ref="J700" ca="1">INDEX(PaymentMethods[Payment Method],RANDBETWEEN(1,5))</f>
        <v>Debit Card</v>
      </c>
    </row>
    <row r="701" spans="1:10" x14ac:dyDescent="0.3">
      <c r="A701" t="str">
        <f t="shared" si="32"/>
        <v>O0700</v>
      </c>
      <c r="B701" s="6">
        <f ca="1">Orders[[#This Row],[Discount%]]</f>
        <v>0.19</v>
      </c>
      <c r="C701" t="str" cm="1">
        <f t="array" aca="1" ref="C701" ca="1">INDEX(Customers[Customer ID],RANDBETWEEN(1,200))</f>
        <v>C191</v>
      </c>
      <c r="D701" t="str" cm="1">
        <f t="array" aca="1" ref="D701" ca="1">INDEX(Products[Product ID],RANDBETWEEN(1,50))</f>
        <v>P028</v>
      </c>
      <c r="E701" t="str" cm="1">
        <f t="array" aca="1" ref="E701" ca="1">INDEX(Warehouses[Warehouse ID],RANDBETWEEN(1,8))</f>
        <v>W008</v>
      </c>
      <c r="F701">
        <f t="shared" ca="1" si="30"/>
        <v>1</v>
      </c>
      <c r="G701">
        <f ca="1">_xlfn.XLOOKUP(Orders[[#This Row],[Product ID]],Products[Product ID],Products[Selling Price])</f>
        <v>16500</v>
      </c>
      <c r="H701" s="6">
        <f t="shared" ca="1" si="31"/>
        <v>0.19</v>
      </c>
      <c r="I701">
        <f ca="1">Orders[[#This Row],[Quantity]]*Orders[[#This Row],[Unit Price]]*(1-Orders[[#This Row],[Discount%]])</f>
        <v>13365</v>
      </c>
      <c r="J701" t="str" cm="1">
        <f t="array" aca="1" ref="J701" ca="1">INDEX(PaymentMethods[Payment Method],RANDBETWEEN(1,5))</f>
        <v>Debit Card</v>
      </c>
    </row>
    <row r="702" spans="1:10" x14ac:dyDescent="0.3">
      <c r="A702" t="str">
        <f t="shared" si="32"/>
        <v>O0701</v>
      </c>
      <c r="B702" s="6">
        <f ca="1">Orders[[#This Row],[Discount%]]</f>
        <v>0.06</v>
      </c>
      <c r="C702" t="str" cm="1">
        <f t="array" aca="1" ref="C702" ca="1">INDEX(Customers[Customer ID],RANDBETWEEN(1,200))</f>
        <v>C018</v>
      </c>
      <c r="D702" t="str" cm="1">
        <f t="array" aca="1" ref="D702" ca="1">INDEX(Products[Product ID],RANDBETWEEN(1,50))</f>
        <v>P047</v>
      </c>
      <c r="E702" t="str" cm="1">
        <f t="array" aca="1" ref="E702" ca="1">INDEX(Warehouses[Warehouse ID],RANDBETWEEN(1,8))</f>
        <v>W002</v>
      </c>
      <c r="F702">
        <f t="shared" ca="1" si="30"/>
        <v>10</v>
      </c>
      <c r="G702">
        <f ca="1">_xlfn.XLOOKUP(Orders[[#This Row],[Product ID]],Products[Product ID],Products[Selling Price])</f>
        <v>6200</v>
      </c>
      <c r="H702" s="6">
        <f t="shared" ca="1" si="31"/>
        <v>0.06</v>
      </c>
      <c r="I702">
        <f ca="1">Orders[[#This Row],[Quantity]]*Orders[[#This Row],[Unit Price]]*(1-Orders[[#This Row],[Discount%]])</f>
        <v>58280</v>
      </c>
      <c r="J702" t="str" cm="1">
        <f t="array" aca="1" ref="J702" ca="1">INDEX(PaymentMethods[Payment Method],RANDBETWEEN(1,5))</f>
        <v>Cash</v>
      </c>
    </row>
    <row r="703" spans="1:10" x14ac:dyDescent="0.3">
      <c r="A703" t="str">
        <f t="shared" si="32"/>
        <v>O0702</v>
      </c>
      <c r="B703" s="6">
        <f ca="1">Orders[[#This Row],[Discount%]]</f>
        <v>0.18</v>
      </c>
      <c r="C703" t="str" cm="1">
        <f t="array" aca="1" ref="C703" ca="1">INDEX(Customers[Customer ID],RANDBETWEEN(1,200))</f>
        <v>C152</v>
      </c>
      <c r="D703" t="str" cm="1">
        <f t="array" aca="1" ref="D703" ca="1">INDEX(Products[Product ID],RANDBETWEEN(1,50))</f>
        <v>P035</v>
      </c>
      <c r="E703" t="str" cm="1">
        <f t="array" aca="1" ref="E703" ca="1">INDEX(Warehouses[Warehouse ID],RANDBETWEEN(1,8))</f>
        <v>W004</v>
      </c>
      <c r="F703">
        <f t="shared" ca="1" si="30"/>
        <v>8</v>
      </c>
      <c r="G703">
        <f ca="1">_xlfn.XLOOKUP(Orders[[#This Row],[Product ID]],Products[Product ID],Products[Selling Price])</f>
        <v>300</v>
      </c>
      <c r="H703" s="6">
        <f t="shared" ca="1" si="31"/>
        <v>0.18</v>
      </c>
      <c r="I703">
        <f ca="1">Orders[[#This Row],[Quantity]]*Orders[[#This Row],[Unit Price]]*(1-Orders[[#This Row],[Discount%]])</f>
        <v>1968.0000000000002</v>
      </c>
      <c r="J703" t="str" cm="1">
        <f t="array" aca="1" ref="J703" ca="1">INDEX(PaymentMethods[Payment Method],RANDBETWEEN(1,5))</f>
        <v>Debit Card</v>
      </c>
    </row>
    <row r="704" spans="1:10" x14ac:dyDescent="0.3">
      <c r="A704" t="str">
        <f t="shared" si="32"/>
        <v>O0703</v>
      </c>
      <c r="B704" s="6">
        <f ca="1">Orders[[#This Row],[Discount%]]</f>
        <v>0.1</v>
      </c>
      <c r="C704" t="str" cm="1">
        <f t="array" aca="1" ref="C704" ca="1">INDEX(Customers[Customer ID],RANDBETWEEN(1,200))</f>
        <v>C036</v>
      </c>
      <c r="D704" t="str" cm="1">
        <f t="array" aca="1" ref="D704" ca="1">INDEX(Products[Product ID],RANDBETWEEN(1,50))</f>
        <v>P024</v>
      </c>
      <c r="E704" t="str" cm="1">
        <f t="array" aca="1" ref="E704" ca="1">INDEX(Warehouses[Warehouse ID],RANDBETWEEN(1,8))</f>
        <v>W005</v>
      </c>
      <c r="F704">
        <f t="shared" ca="1" si="30"/>
        <v>7</v>
      </c>
      <c r="G704">
        <f ca="1">_xlfn.XLOOKUP(Orders[[#This Row],[Product ID]],Products[Product ID],Products[Selling Price])</f>
        <v>1700</v>
      </c>
      <c r="H704" s="6">
        <f t="shared" ca="1" si="31"/>
        <v>0.1</v>
      </c>
      <c r="I704">
        <f ca="1">Orders[[#This Row],[Quantity]]*Orders[[#This Row],[Unit Price]]*(1-Orders[[#This Row],[Discount%]])</f>
        <v>10710</v>
      </c>
      <c r="J704" t="str" cm="1">
        <f t="array" aca="1" ref="J704" ca="1">INDEX(PaymentMethods[Payment Method],RANDBETWEEN(1,5))</f>
        <v>UPI</v>
      </c>
    </row>
    <row r="705" spans="1:10" x14ac:dyDescent="0.3">
      <c r="A705" t="str">
        <f t="shared" si="32"/>
        <v>O0704</v>
      </c>
      <c r="B705" s="6">
        <f ca="1">Orders[[#This Row],[Discount%]]</f>
        <v>0.06</v>
      </c>
      <c r="C705" t="str" cm="1">
        <f t="array" aca="1" ref="C705" ca="1">INDEX(Customers[Customer ID],RANDBETWEEN(1,200))</f>
        <v>C093</v>
      </c>
      <c r="D705" t="str" cm="1">
        <f t="array" aca="1" ref="D705" ca="1">INDEX(Products[Product ID],RANDBETWEEN(1,50))</f>
        <v>P012</v>
      </c>
      <c r="E705" t="str" cm="1">
        <f t="array" aca="1" ref="E705" ca="1">INDEX(Warehouses[Warehouse ID],RANDBETWEEN(1,8))</f>
        <v>W003</v>
      </c>
      <c r="F705">
        <f t="shared" ca="1" si="30"/>
        <v>9</v>
      </c>
      <c r="G705">
        <f ca="1">_xlfn.XLOOKUP(Orders[[#This Row],[Product ID]],Products[Product ID],Products[Selling Price])</f>
        <v>80</v>
      </c>
      <c r="H705" s="6">
        <f t="shared" ca="1" si="31"/>
        <v>0.06</v>
      </c>
      <c r="I705">
        <f ca="1">Orders[[#This Row],[Quantity]]*Orders[[#This Row],[Unit Price]]*(1-Orders[[#This Row],[Discount%]])</f>
        <v>676.8</v>
      </c>
      <c r="J705" t="str" cm="1">
        <f t="array" aca="1" ref="J705" ca="1">INDEX(PaymentMethods[Payment Method],RANDBETWEEN(1,5))</f>
        <v>Debit Card</v>
      </c>
    </row>
    <row r="706" spans="1:10" x14ac:dyDescent="0.3">
      <c r="A706" t="str">
        <f t="shared" si="32"/>
        <v>O0705</v>
      </c>
      <c r="B706" s="6">
        <f ca="1">Orders[[#This Row],[Discount%]]</f>
        <v>0.02</v>
      </c>
      <c r="C706" t="str" cm="1">
        <f t="array" aca="1" ref="C706" ca="1">INDEX(Customers[Customer ID],RANDBETWEEN(1,200))</f>
        <v>C151</v>
      </c>
      <c r="D706" t="str" cm="1">
        <f t="array" aca="1" ref="D706" ca="1">INDEX(Products[Product ID],RANDBETWEEN(1,50))</f>
        <v>P048</v>
      </c>
      <c r="E706" t="str" cm="1">
        <f t="array" aca="1" ref="E706" ca="1">INDEX(Warehouses[Warehouse ID],RANDBETWEEN(1,8))</f>
        <v>W002</v>
      </c>
      <c r="F706">
        <f t="shared" ref="F706:F769" ca="1" si="33">RANDBETWEEN(1,10)</f>
        <v>4</v>
      </c>
      <c r="G706">
        <f ca="1">_xlfn.XLOOKUP(Orders[[#This Row],[Product ID]],Products[Product ID],Products[Selling Price])</f>
        <v>1200</v>
      </c>
      <c r="H706" s="6">
        <f t="shared" ref="H706:H769" ca="1" si="34">RANDBETWEEN(0,20)/100</f>
        <v>0.02</v>
      </c>
      <c r="I706">
        <f ca="1">Orders[[#This Row],[Quantity]]*Orders[[#This Row],[Unit Price]]*(1-Orders[[#This Row],[Discount%]])</f>
        <v>4704</v>
      </c>
      <c r="J706" t="str" cm="1">
        <f t="array" aca="1" ref="J706" ca="1">INDEX(PaymentMethods[Payment Method],RANDBETWEEN(1,5))</f>
        <v>Net Banking</v>
      </c>
    </row>
    <row r="707" spans="1:10" x14ac:dyDescent="0.3">
      <c r="A707" t="str">
        <f t="shared" ref="A707:A770" si="35">"O"&amp;TEXT(ROW()-1,"0000")</f>
        <v>O0706</v>
      </c>
      <c r="B707" s="6">
        <f ca="1">Orders[[#This Row],[Discount%]]</f>
        <v>0.18</v>
      </c>
      <c r="C707" t="str" cm="1">
        <f t="array" aca="1" ref="C707" ca="1">INDEX(Customers[Customer ID],RANDBETWEEN(1,200))</f>
        <v>C037</v>
      </c>
      <c r="D707" t="str" cm="1">
        <f t="array" aca="1" ref="D707" ca="1">INDEX(Products[Product ID],RANDBETWEEN(1,50))</f>
        <v>P013</v>
      </c>
      <c r="E707" t="str" cm="1">
        <f t="array" aca="1" ref="E707" ca="1">INDEX(Warehouses[Warehouse ID],RANDBETWEEN(1,8))</f>
        <v>W002</v>
      </c>
      <c r="F707">
        <f t="shared" ca="1" si="33"/>
        <v>5</v>
      </c>
      <c r="G707">
        <f ca="1">_xlfn.XLOOKUP(Orders[[#This Row],[Product ID]],Products[Product ID],Products[Selling Price])</f>
        <v>25</v>
      </c>
      <c r="H707" s="6">
        <f t="shared" ca="1" si="34"/>
        <v>0.18</v>
      </c>
      <c r="I707">
        <f ca="1">Orders[[#This Row],[Quantity]]*Orders[[#This Row],[Unit Price]]*(1-Orders[[#This Row],[Discount%]])</f>
        <v>102.50000000000001</v>
      </c>
      <c r="J707" t="str" cm="1">
        <f t="array" aca="1" ref="J707" ca="1">INDEX(PaymentMethods[Payment Method],RANDBETWEEN(1,5))</f>
        <v>UPI</v>
      </c>
    </row>
    <row r="708" spans="1:10" x14ac:dyDescent="0.3">
      <c r="A708" t="str">
        <f t="shared" si="35"/>
        <v>O0707</v>
      </c>
      <c r="B708" s="6">
        <f ca="1">Orders[[#This Row],[Discount%]]</f>
        <v>0.05</v>
      </c>
      <c r="C708" t="str" cm="1">
        <f t="array" aca="1" ref="C708" ca="1">INDEX(Customers[Customer ID],RANDBETWEEN(1,200))</f>
        <v>C077</v>
      </c>
      <c r="D708" t="str" cm="1">
        <f t="array" aca="1" ref="D708" ca="1">INDEX(Products[Product ID],RANDBETWEEN(1,50))</f>
        <v>P017</v>
      </c>
      <c r="E708" t="str" cm="1">
        <f t="array" aca="1" ref="E708" ca="1">INDEX(Warehouses[Warehouse ID],RANDBETWEEN(1,8))</f>
        <v>W003</v>
      </c>
      <c r="F708">
        <f t="shared" ca="1" si="33"/>
        <v>1</v>
      </c>
      <c r="G708">
        <f ca="1">_xlfn.XLOOKUP(Orders[[#This Row],[Product ID]],Products[Product ID],Products[Selling Price])</f>
        <v>650</v>
      </c>
      <c r="H708" s="6">
        <f t="shared" ca="1" si="34"/>
        <v>0.05</v>
      </c>
      <c r="I708">
        <f ca="1">Orders[[#This Row],[Quantity]]*Orders[[#This Row],[Unit Price]]*(1-Orders[[#This Row],[Discount%]])</f>
        <v>617.5</v>
      </c>
      <c r="J708" t="str" cm="1">
        <f t="array" aca="1" ref="J708" ca="1">INDEX(PaymentMethods[Payment Method],RANDBETWEEN(1,5))</f>
        <v>UPI</v>
      </c>
    </row>
    <row r="709" spans="1:10" x14ac:dyDescent="0.3">
      <c r="A709" t="str">
        <f t="shared" si="35"/>
        <v>O0708</v>
      </c>
      <c r="B709" s="6">
        <f ca="1">Orders[[#This Row],[Discount%]]</f>
        <v>0</v>
      </c>
      <c r="C709" t="str" cm="1">
        <f t="array" aca="1" ref="C709" ca="1">INDEX(Customers[Customer ID],RANDBETWEEN(1,200))</f>
        <v>C051</v>
      </c>
      <c r="D709" t="str" cm="1">
        <f t="array" aca="1" ref="D709" ca="1">INDEX(Products[Product ID],RANDBETWEEN(1,50))</f>
        <v>P016</v>
      </c>
      <c r="E709" t="str" cm="1">
        <f t="array" aca="1" ref="E709" ca="1">INDEX(Warehouses[Warehouse ID],RANDBETWEEN(1,8))</f>
        <v>W007</v>
      </c>
      <c r="F709">
        <f t="shared" ca="1" si="33"/>
        <v>10</v>
      </c>
      <c r="G709">
        <f ca="1">_xlfn.XLOOKUP(Orders[[#This Row],[Product ID]],Products[Product ID],Products[Selling Price])</f>
        <v>2500</v>
      </c>
      <c r="H709" s="6">
        <f t="shared" ca="1" si="34"/>
        <v>0</v>
      </c>
      <c r="I709">
        <f ca="1">Orders[[#This Row],[Quantity]]*Orders[[#This Row],[Unit Price]]*(1-Orders[[#This Row],[Discount%]])</f>
        <v>25000</v>
      </c>
      <c r="J709" t="str" cm="1">
        <f t="array" aca="1" ref="J709" ca="1">INDEX(PaymentMethods[Payment Method],RANDBETWEEN(1,5))</f>
        <v>Debit Card</v>
      </c>
    </row>
    <row r="710" spans="1:10" x14ac:dyDescent="0.3">
      <c r="A710" t="str">
        <f t="shared" si="35"/>
        <v>O0709</v>
      </c>
      <c r="B710" s="6">
        <f ca="1">Orders[[#This Row],[Discount%]]</f>
        <v>0.05</v>
      </c>
      <c r="C710" t="str" cm="1">
        <f t="array" aca="1" ref="C710" ca="1">INDEX(Customers[Customer ID],RANDBETWEEN(1,200))</f>
        <v>C051</v>
      </c>
      <c r="D710" t="str" cm="1">
        <f t="array" aca="1" ref="D710" ca="1">INDEX(Products[Product ID],RANDBETWEEN(1,50))</f>
        <v>P041</v>
      </c>
      <c r="E710" t="str" cm="1">
        <f t="array" aca="1" ref="E710" ca="1">INDEX(Warehouses[Warehouse ID],RANDBETWEEN(1,8))</f>
        <v>W001</v>
      </c>
      <c r="F710">
        <f t="shared" ca="1" si="33"/>
        <v>3</v>
      </c>
      <c r="G710">
        <f ca="1">_xlfn.XLOOKUP(Orders[[#This Row],[Product ID]],Products[Product ID],Products[Selling Price])</f>
        <v>36000</v>
      </c>
      <c r="H710" s="6">
        <f t="shared" ca="1" si="34"/>
        <v>0.05</v>
      </c>
      <c r="I710">
        <f ca="1">Orders[[#This Row],[Quantity]]*Orders[[#This Row],[Unit Price]]*(1-Orders[[#This Row],[Discount%]])</f>
        <v>102600</v>
      </c>
      <c r="J710" t="str" cm="1">
        <f t="array" aca="1" ref="J710" ca="1">INDEX(PaymentMethods[Payment Method],RANDBETWEEN(1,5))</f>
        <v>Credit Card</v>
      </c>
    </row>
    <row r="711" spans="1:10" x14ac:dyDescent="0.3">
      <c r="A711" t="str">
        <f t="shared" si="35"/>
        <v>O0710</v>
      </c>
      <c r="B711" s="6">
        <f ca="1">Orders[[#This Row],[Discount%]]</f>
        <v>0.09</v>
      </c>
      <c r="C711" t="str" cm="1">
        <f t="array" aca="1" ref="C711" ca="1">INDEX(Customers[Customer ID],RANDBETWEEN(1,200))</f>
        <v>C019</v>
      </c>
      <c r="D711" t="str" cm="1">
        <f t="array" aca="1" ref="D711" ca="1">INDEX(Products[Product ID],RANDBETWEEN(1,50))</f>
        <v>P015</v>
      </c>
      <c r="E711" t="str" cm="1">
        <f t="array" aca="1" ref="E711" ca="1">INDEX(Warehouses[Warehouse ID],RANDBETWEEN(1,8))</f>
        <v>W006</v>
      </c>
      <c r="F711">
        <f t="shared" ca="1" si="33"/>
        <v>8</v>
      </c>
      <c r="G711">
        <f ca="1">_xlfn.XLOOKUP(Orders[[#This Row],[Product ID]],Products[Product ID],Products[Selling Price])</f>
        <v>1800</v>
      </c>
      <c r="H711" s="6">
        <f t="shared" ca="1" si="34"/>
        <v>0.09</v>
      </c>
      <c r="I711">
        <f ca="1">Orders[[#This Row],[Quantity]]*Orders[[#This Row],[Unit Price]]*(1-Orders[[#This Row],[Discount%]])</f>
        <v>13104</v>
      </c>
      <c r="J711" t="str" cm="1">
        <f t="array" aca="1" ref="J711" ca="1">INDEX(PaymentMethods[Payment Method],RANDBETWEEN(1,5))</f>
        <v>Credit Card</v>
      </c>
    </row>
    <row r="712" spans="1:10" x14ac:dyDescent="0.3">
      <c r="A712" t="str">
        <f t="shared" si="35"/>
        <v>O0711</v>
      </c>
      <c r="B712" s="6">
        <f ca="1">Orders[[#This Row],[Discount%]]</f>
        <v>0.11</v>
      </c>
      <c r="C712" t="str" cm="1">
        <f t="array" aca="1" ref="C712" ca="1">INDEX(Customers[Customer ID],RANDBETWEEN(1,200))</f>
        <v>C170</v>
      </c>
      <c r="D712" t="str" cm="1">
        <f t="array" aca="1" ref="D712" ca="1">INDEX(Products[Product ID],RANDBETWEEN(1,50))</f>
        <v>P019</v>
      </c>
      <c r="E712" t="str" cm="1">
        <f t="array" aca="1" ref="E712" ca="1">INDEX(Warehouses[Warehouse ID],RANDBETWEEN(1,8))</f>
        <v>W007</v>
      </c>
      <c r="F712">
        <f t="shared" ca="1" si="33"/>
        <v>10</v>
      </c>
      <c r="G712">
        <f ca="1">_xlfn.XLOOKUP(Orders[[#This Row],[Product ID]],Products[Product ID],Products[Selling Price])</f>
        <v>950</v>
      </c>
      <c r="H712" s="6">
        <f t="shared" ca="1" si="34"/>
        <v>0.11</v>
      </c>
      <c r="I712">
        <f ca="1">Orders[[#This Row],[Quantity]]*Orders[[#This Row],[Unit Price]]*(1-Orders[[#This Row],[Discount%]])</f>
        <v>8455</v>
      </c>
      <c r="J712" t="str" cm="1">
        <f t="array" aca="1" ref="J712" ca="1">INDEX(PaymentMethods[Payment Method],RANDBETWEEN(1,5))</f>
        <v>Debit Card</v>
      </c>
    </row>
    <row r="713" spans="1:10" x14ac:dyDescent="0.3">
      <c r="A713" t="str">
        <f t="shared" si="35"/>
        <v>O0712</v>
      </c>
      <c r="B713" s="6">
        <f ca="1">Orders[[#This Row],[Discount%]]</f>
        <v>0.14000000000000001</v>
      </c>
      <c r="C713" t="str" cm="1">
        <f t="array" aca="1" ref="C713" ca="1">INDEX(Customers[Customer ID],RANDBETWEEN(1,200))</f>
        <v>C006</v>
      </c>
      <c r="D713" t="str" cm="1">
        <f t="array" aca="1" ref="D713" ca="1">INDEX(Products[Product ID],RANDBETWEEN(1,50))</f>
        <v>P004</v>
      </c>
      <c r="E713" t="str" cm="1">
        <f t="array" aca="1" ref="E713" ca="1">INDEX(Warehouses[Warehouse ID],RANDBETWEEN(1,8))</f>
        <v>W006</v>
      </c>
      <c r="F713">
        <f t="shared" ca="1" si="33"/>
        <v>2</v>
      </c>
      <c r="G713">
        <f ca="1">_xlfn.XLOOKUP(Orders[[#This Row],[Product ID]],Products[Product ID],Products[Selling Price])</f>
        <v>9000</v>
      </c>
      <c r="H713" s="6">
        <f t="shared" ca="1" si="34"/>
        <v>0.14000000000000001</v>
      </c>
      <c r="I713">
        <f ca="1">Orders[[#This Row],[Quantity]]*Orders[[#This Row],[Unit Price]]*(1-Orders[[#This Row],[Discount%]])</f>
        <v>15480</v>
      </c>
      <c r="J713" t="str" cm="1">
        <f t="array" aca="1" ref="J713" ca="1">INDEX(PaymentMethods[Payment Method],RANDBETWEEN(1,5))</f>
        <v>Debit Card</v>
      </c>
    </row>
    <row r="714" spans="1:10" x14ac:dyDescent="0.3">
      <c r="A714" t="str">
        <f t="shared" si="35"/>
        <v>O0713</v>
      </c>
      <c r="B714" s="6">
        <f ca="1">Orders[[#This Row],[Discount%]]</f>
        <v>0.15</v>
      </c>
      <c r="C714" t="str" cm="1">
        <f t="array" aca="1" ref="C714" ca="1">INDEX(Customers[Customer ID],RANDBETWEEN(1,200))</f>
        <v>C152</v>
      </c>
      <c r="D714" t="str" cm="1">
        <f t="array" aca="1" ref="D714" ca="1">INDEX(Products[Product ID],RANDBETWEEN(1,50))</f>
        <v>P010</v>
      </c>
      <c r="E714" t="str" cm="1">
        <f t="array" aca="1" ref="E714" ca="1">INDEX(Warehouses[Warehouse ID],RANDBETWEEN(1,8))</f>
        <v>W002</v>
      </c>
      <c r="F714">
        <f t="shared" ca="1" si="33"/>
        <v>5</v>
      </c>
      <c r="G714">
        <f ca="1">_xlfn.XLOOKUP(Orders[[#This Row],[Product ID]],Products[Product ID],Products[Selling Price])</f>
        <v>250</v>
      </c>
      <c r="H714" s="6">
        <f t="shared" ca="1" si="34"/>
        <v>0.15</v>
      </c>
      <c r="I714">
        <f ca="1">Orders[[#This Row],[Quantity]]*Orders[[#This Row],[Unit Price]]*(1-Orders[[#This Row],[Discount%]])</f>
        <v>1062.5</v>
      </c>
      <c r="J714" t="str" cm="1">
        <f t="array" aca="1" ref="J714" ca="1">INDEX(PaymentMethods[Payment Method],RANDBETWEEN(1,5))</f>
        <v>Credit Card</v>
      </c>
    </row>
    <row r="715" spans="1:10" x14ac:dyDescent="0.3">
      <c r="A715" t="str">
        <f t="shared" si="35"/>
        <v>O0714</v>
      </c>
      <c r="B715" s="6">
        <f ca="1">Orders[[#This Row],[Discount%]]</f>
        <v>0.14000000000000001</v>
      </c>
      <c r="C715" t="str" cm="1">
        <f t="array" aca="1" ref="C715" ca="1">INDEX(Customers[Customer ID],RANDBETWEEN(1,200))</f>
        <v>C106</v>
      </c>
      <c r="D715" t="str" cm="1">
        <f t="array" aca="1" ref="D715" ca="1">INDEX(Products[Product ID],RANDBETWEEN(1,50))</f>
        <v>P040</v>
      </c>
      <c r="E715" t="str" cm="1">
        <f t="array" aca="1" ref="E715" ca="1">INDEX(Warehouses[Warehouse ID],RANDBETWEEN(1,8))</f>
        <v>W005</v>
      </c>
      <c r="F715">
        <f t="shared" ca="1" si="33"/>
        <v>4</v>
      </c>
      <c r="G715">
        <f ca="1">_xlfn.XLOOKUP(Orders[[#This Row],[Product ID]],Products[Product ID],Products[Selling Price])</f>
        <v>180</v>
      </c>
      <c r="H715" s="6">
        <f t="shared" ca="1" si="34"/>
        <v>0.14000000000000001</v>
      </c>
      <c r="I715">
        <f ca="1">Orders[[#This Row],[Quantity]]*Orders[[#This Row],[Unit Price]]*(1-Orders[[#This Row],[Discount%]])</f>
        <v>619.20000000000005</v>
      </c>
      <c r="J715" t="str" cm="1">
        <f t="array" aca="1" ref="J715" ca="1">INDEX(PaymentMethods[Payment Method],RANDBETWEEN(1,5))</f>
        <v>Net Banking</v>
      </c>
    </row>
    <row r="716" spans="1:10" x14ac:dyDescent="0.3">
      <c r="A716" t="str">
        <f t="shared" si="35"/>
        <v>O0715</v>
      </c>
      <c r="B716" s="6">
        <f ca="1">Orders[[#This Row],[Discount%]]</f>
        <v>0.14000000000000001</v>
      </c>
      <c r="C716" t="str" cm="1">
        <f t="array" aca="1" ref="C716" ca="1">INDEX(Customers[Customer ID],RANDBETWEEN(1,200))</f>
        <v>C057</v>
      </c>
      <c r="D716" t="str" cm="1">
        <f t="array" aca="1" ref="D716" ca="1">INDEX(Products[Product ID],RANDBETWEEN(1,50))</f>
        <v>P023</v>
      </c>
      <c r="E716" t="str" cm="1">
        <f t="array" aca="1" ref="E716" ca="1">INDEX(Warehouses[Warehouse ID],RANDBETWEEN(1,8))</f>
        <v>W004</v>
      </c>
      <c r="F716">
        <f t="shared" ca="1" si="33"/>
        <v>9</v>
      </c>
      <c r="G716">
        <f ca="1">_xlfn.XLOOKUP(Orders[[#This Row],[Product ID]],Products[Product ID],Products[Selling Price])</f>
        <v>2300</v>
      </c>
      <c r="H716" s="6">
        <f t="shared" ca="1" si="34"/>
        <v>0.14000000000000001</v>
      </c>
      <c r="I716">
        <f ca="1">Orders[[#This Row],[Quantity]]*Orders[[#This Row],[Unit Price]]*(1-Orders[[#This Row],[Discount%]])</f>
        <v>17802</v>
      </c>
      <c r="J716" t="str" cm="1">
        <f t="array" aca="1" ref="J716" ca="1">INDEX(PaymentMethods[Payment Method],RANDBETWEEN(1,5))</f>
        <v>Cash</v>
      </c>
    </row>
    <row r="717" spans="1:10" x14ac:dyDescent="0.3">
      <c r="A717" t="str">
        <f t="shared" si="35"/>
        <v>O0716</v>
      </c>
      <c r="B717" s="6">
        <f ca="1">Orders[[#This Row],[Discount%]]</f>
        <v>0.03</v>
      </c>
      <c r="C717" t="str" cm="1">
        <f t="array" aca="1" ref="C717" ca="1">INDEX(Customers[Customer ID],RANDBETWEEN(1,200))</f>
        <v>C119</v>
      </c>
      <c r="D717" t="str" cm="1">
        <f t="array" aca="1" ref="D717" ca="1">INDEX(Products[Product ID],RANDBETWEEN(1,50))</f>
        <v>P044</v>
      </c>
      <c r="E717" t="str" cm="1">
        <f t="array" aca="1" ref="E717" ca="1">INDEX(Warehouses[Warehouse ID],RANDBETWEEN(1,8))</f>
        <v>W001</v>
      </c>
      <c r="F717">
        <f t="shared" ca="1" si="33"/>
        <v>4</v>
      </c>
      <c r="G717">
        <f ca="1">_xlfn.XLOOKUP(Orders[[#This Row],[Product ID]],Products[Product ID],Products[Selling Price])</f>
        <v>8500</v>
      </c>
      <c r="H717" s="6">
        <f t="shared" ca="1" si="34"/>
        <v>0.03</v>
      </c>
      <c r="I717">
        <f ca="1">Orders[[#This Row],[Quantity]]*Orders[[#This Row],[Unit Price]]*(1-Orders[[#This Row],[Discount%]])</f>
        <v>32980</v>
      </c>
      <c r="J717" t="str" cm="1">
        <f t="array" aca="1" ref="J717" ca="1">INDEX(PaymentMethods[Payment Method],RANDBETWEEN(1,5))</f>
        <v>Credit Card</v>
      </c>
    </row>
    <row r="718" spans="1:10" x14ac:dyDescent="0.3">
      <c r="A718" t="str">
        <f t="shared" si="35"/>
        <v>O0717</v>
      </c>
      <c r="B718" s="6">
        <f ca="1">Orders[[#This Row],[Discount%]]</f>
        <v>0.09</v>
      </c>
      <c r="C718" t="str" cm="1">
        <f t="array" aca="1" ref="C718" ca="1">INDEX(Customers[Customer ID],RANDBETWEEN(1,200))</f>
        <v>C084</v>
      </c>
      <c r="D718" t="str" cm="1">
        <f t="array" aca="1" ref="D718" ca="1">INDEX(Products[Product ID],RANDBETWEEN(1,50))</f>
        <v>P015</v>
      </c>
      <c r="E718" t="str" cm="1">
        <f t="array" aca="1" ref="E718" ca="1">INDEX(Warehouses[Warehouse ID],RANDBETWEEN(1,8))</f>
        <v>W003</v>
      </c>
      <c r="F718">
        <f t="shared" ca="1" si="33"/>
        <v>8</v>
      </c>
      <c r="G718">
        <f ca="1">_xlfn.XLOOKUP(Orders[[#This Row],[Product ID]],Products[Product ID],Products[Selling Price])</f>
        <v>1800</v>
      </c>
      <c r="H718" s="6">
        <f t="shared" ca="1" si="34"/>
        <v>0.09</v>
      </c>
      <c r="I718">
        <f ca="1">Orders[[#This Row],[Quantity]]*Orders[[#This Row],[Unit Price]]*(1-Orders[[#This Row],[Discount%]])</f>
        <v>13104</v>
      </c>
      <c r="J718" t="str" cm="1">
        <f t="array" aca="1" ref="J718" ca="1">INDEX(PaymentMethods[Payment Method],RANDBETWEEN(1,5))</f>
        <v>Net Banking</v>
      </c>
    </row>
    <row r="719" spans="1:10" x14ac:dyDescent="0.3">
      <c r="A719" t="str">
        <f t="shared" si="35"/>
        <v>O0718</v>
      </c>
      <c r="B719" s="6">
        <f ca="1">Orders[[#This Row],[Discount%]]</f>
        <v>0.15</v>
      </c>
      <c r="C719" t="str" cm="1">
        <f t="array" aca="1" ref="C719" ca="1">INDEX(Customers[Customer ID],RANDBETWEEN(1,200))</f>
        <v>C057</v>
      </c>
      <c r="D719" t="str" cm="1">
        <f t="array" aca="1" ref="D719" ca="1">INDEX(Products[Product ID],RANDBETWEEN(1,50))</f>
        <v>P045</v>
      </c>
      <c r="E719" t="str" cm="1">
        <f t="array" aca="1" ref="E719" ca="1">INDEX(Warehouses[Warehouse ID],RANDBETWEEN(1,8))</f>
        <v>W004</v>
      </c>
      <c r="F719">
        <f t="shared" ca="1" si="33"/>
        <v>4</v>
      </c>
      <c r="G719">
        <f ca="1">_xlfn.XLOOKUP(Orders[[#This Row],[Product ID]],Products[Product ID],Products[Selling Price])</f>
        <v>1500</v>
      </c>
      <c r="H719" s="6">
        <f t="shared" ca="1" si="34"/>
        <v>0.15</v>
      </c>
      <c r="I719">
        <f ca="1">Orders[[#This Row],[Quantity]]*Orders[[#This Row],[Unit Price]]*(1-Orders[[#This Row],[Discount%]])</f>
        <v>5100</v>
      </c>
      <c r="J719" t="str" cm="1">
        <f t="array" aca="1" ref="J719" ca="1">INDEX(PaymentMethods[Payment Method],RANDBETWEEN(1,5))</f>
        <v>Net Banking</v>
      </c>
    </row>
    <row r="720" spans="1:10" x14ac:dyDescent="0.3">
      <c r="A720" t="str">
        <f t="shared" si="35"/>
        <v>O0719</v>
      </c>
      <c r="B720" s="6">
        <f ca="1">Orders[[#This Row],[Discount%]]</f>
        <v>0.17</v>
      </c>
      <c r="C720" t="str" cm="1">
        <f t="array" aca="1" ref="C720" ca="1">INDEX(Customers[Customer ID],RANDBETWEEN(1,200))</f>
        <v>C085</v>
      </c>
      <c r="D720" t="str" cm="1">
        <f t="array" aca="1" ref="D720" ca="1">INDEX(Products[Product ID],RANDBETWEEN(1,50))</f>
        <v>P006</v>
      </c>
      <c r="E720" t="str" cm="1">
        <f t="array" aca="1" ref="E720" ca="1">INDEX(Warehouses[Warehouse ID],RANDBETWEEN(1,8))</f>
        <v>W004</v>
      </c>
      <c r="F720">
        <f t="shared" ca="1" si="33"/>
        <v>3</v>
      </c>
      <c r="G720">
        <f ca="1">_xlfn.XLOOKUP(Orders[[#This Row],[Product ID]],Products[Product ID],Products[Selling Price])</f>
        <v>3500</v>
      </c>
      <c r="H720" s="6">
        <f t="shared" ca="1" si="34"/>
        <v>0.17</v>
      </c>
      <c r="I720">
        <f ca="1">Orders[[#This Row],[Quantity]]*Orders[[#This Row],[Unit Price]]*(1-Orders[[#This Row],[Discount%]])</f>
        <v>8715</v>
      </c>
      <c r="J720" t="str" cm="1">
        <f t="array" aca="1" ref="J720" ca="1">INDEX(PaymentMethods[Payment Method],RANDBETWEEN(1,5))</f>
        <v>Debit Card</v>
      </c>
    </row>
    <row r="721" spans="1:10" x14ac:dyDescent="0.3">
      <c r="A721" t="str">
        <f t="shared" si="35"/>
        <v>O0720</v>
      </c>
      <c r="B721" s="6">
        <f ca="1">Orders[[#This Row],[Discount%]]</f>
        <v>0.11</v>
      </c>
      <c r="C721" t="str" cm="1">
        <f t="array" aca="1" ref="C721" ca="1">INDEX(Customers[Customer ID],RANDBETWEEN(1,200))</f>
        <v>C175</v>
      </c>
      <c r="D721" t="str" cm="1">
        <f t="array" aca="1" ref="D721" ca="1">INDEX(Products[Product ID],RANDBETWEEN(1,50))</f>
        <v>P032</v>
      </c>
      <c r="E721" t="str" cm="1">
        <f t="array" aca="1" ref="E721" ca="1">INDEX(Warehouses[Warehouse ID],RANDBETWEEN(1,8))</f>
        <v>W006</v>
      </c>
      <c r="F721">
        <f t="shared" ca="1" si="33"/>
        <v>1</v>
      </c>
      <c r="G721">
        <f ca="1">_xlfn.XLOOKUP(Orders[[#This Row],[Product ID]],Products[Product ID],Products[Selling Price])</f>
        <v>220</v>
      </c>
      <c r="H721" s="6">
        <f t="shared" ca="1" si="34"/>
        <v>0.11</v>
      </c>
      <c r="I721">
        <f ca="1">Orders[[#This Row],[Quantity]]*Orders[[#This Row],[Unit Price]]*(1-Orders[[#This Row],[Discount%]])</f>
        <v>195.8</v>
      </c>
      <c r="J721" t="str" cm="1">
        <f t="array" aca="1" ref="J721" ca="1">INDEX(PaymentMethods[Payment Method],RANDBETWEEN(1,5))</f>
        <v>Debit Card</v>
      </c>
    </row>
    <row r="722" spans="1:10" x14ac:dyDescent="0.3">
      <c r="A722" t="str">
        <f t="shared" si="35"/>
        <v>O0721</v>
      </c>
      <c r="B722" s="6">
        <f ca="1">Orders[[#This Row],[Discount%]]</f>
        <v>0.04</v>
      </c>
      <c r="C722" t="str" cm="1">
        <f t="array" aca="1" ref="C722" ca="1">INDEX(Customers[Customer ID],RANDBETWEEN(1,200))</f>
        <v>C007</v>
      </c>
      <c r="D722" t="str" cm="1">
        <f t="array" aca="1" ref="D722" ca="1">INDEX(Products[Product ID],RANDBETWEEN(1,50))</f>
        <v>P004</v>
      </c>
      <c r="E722" t="str" cm="1">
        <f t="array" aca="1" ref="E722" ca="1">INDEX(Warehouses[Warehouse ID],RANDBETWEEN(1,8))</f>
        <v>W005</v>
      </c>
      <c r="F722">
        <f t="shared" ca="1" si="33"/>
        <v>2</v>
      </c>
      <c r="G722">
        <f ca="1">_xlfn.XLOOKUP(Orders[[#This Row],[Product ID]],Products[Product ID],Products[Selling Price])</f>
        <v>9000</v>
      </c>
      <c r="H722" s="6">
        <f t="shared" ca="1" si="34"/>
        <v>0.04</v>
      </c>
      <c r="I722">
        <f ca="1">Orders[[#This Row],[Quantity]]*Orders[[#This Row],[Unit Price]]*(1-Orders[[#This Row],[Discount%]])</f>
        <v>17280</v>
      </c>
      <c r="J722" t="str" cm="1">
        <f t="array" aca="1" ref="J722" ca="1">INDEX(PaymentMethods[Payment Method],RANDBETWEEN(1,5))</f>
        <v>Net Banking</v>
      </c>
    </row>
    <row r="723" spans="1:10" x14ac:dyDescent="0.3">
      <c r="A723" t="str">
        <f t="shared" si="35"/>
        <v>O0722</v>
      </c>
      <c r="B723" s="6">
        <f ca="1">Orders[[#This Row],[Discount%]]</f>
        <v>0.05</v>
      </c>
      <c r="C723" t="str" cm="1">
        <f t="array" aca="1" ref="C723" ca="1">INDEX(Customers[Customer ID],RANDBETWEEN(1,200))</f>
        <v>C021</v>
      </c>
      <c r="D723" t="str" cm="1">
        <f t="array" aca="1" ref="D723" ca="1">INDEX(Products[Product ID],RANDBETWEEN(1,50))</f>
        <v>P019</v>
      </c>
      <c r="E723" t="str" cm="1">
        <f t="array" aca="1" ref="E723" ca="1">INDEX(Warehouses[Warehouse ID],RANDBETWEEN(1,8))</f>
        <v>W004</v>
      </c>
      <c r="F723">
        <f t="shared" ca="1" si="33"/>
        <v>4</v>
      </c>
      <c r="G723">
        <f ca="1">_xlfn.XLOOKUP(Orders[[#This Row],[Product ID]],Products[Product ID],Products[Selling Price])</f>
        <v>950</v>
      </c>
      <c r="H723" s="6">
        <f t="shared" ca="1" si="34"/>
        <v>0.05</v>
      </c>
      <c r="I723">
        <f ca="1">Orders[[#This Row],[Quantity]]*Orders[[#This Row],[Unit Price]]*(1-Orders[[#This Row],[Discount%]])</f>
        <v>3610</v>
      </c>
      <c r="J723" t="str" cm="1">
        <f t="array" aca="1" ref="J723" ca="1">INDEX(PaymentMethods[Payment Method],RANDBETWEEN(1,5))</f>
        <v>UPI</v>
      </c>
    </row>
    <row r="724" spans="1:10" x14ac:dyDescent="0.3">
      <c r="A724" t="str">
        <f t="shared" si="35"/>
        <v>O0723</v>
      </c>
      <c r="B724" s="6">
        <f ca="1">Orders[[#This Row],[Discount%]]</f>
        <v>0.09</v>
      </c>
      <c r="C724" t="str" cm="1">
        <f t="array" aca="1" ref="C724" ca="1">INDEX(Customers[Customer ID],RANDBETWEEN(1,200))</f>
        <v>C007</v>
      </c>
      <c r="D724" t="str" cm="1">
        <f t="array" aca="1" ref="D724" ca="1">INDEX(Products[Product ID],RANDBETWEEN(1,50))</f>
        <v>P023</v>
      </c>
      <c r="E724" t="str" cm="1">
        <f t="array" aca="1" ref="E724" ca="1">INDEX(Warehouses[Warehouse ID],RANDBETWEEN(1,8))</f>
        <v>W008</v>
      </c>
      <c r="F724">
        <f t="shared" ca="1" si="33"/>
        <v>1</v>
      </c>
      <c r="G724">
        <f ca="1">_xlfn.XLOOKUP(Orders[[#This Row],[Product ID]],Products[Product ID],Products[Selling Price])</f>
        <v>2300</v>
      </c>
      <c r="H724" s="6">
        <f t="shared" ca="1" si="34"/>
        <v>0.09</v>
      </c>
      <c r="I724">
        <f ca="1">Orders[[#This Row],[Quantity]]*Orders[[#This Row],[Unit Price]]*(1-Orders[[#This Row],[Discount%]])</f>
        <v>2093</v>
      </c>
      <c r="J724" t="str" cm="1">
        <f t="array" aca="1" ref="J724" ca="1">INDEX(PaymentMethods[Payment Method],RANDBETWEEN(1,5))</f>
        <v>Net Banking</v>
      </c>
    </row>
    <row r="725" spans="1:10" x14ac:dyDescent="0.3">
      <c r="A725" t="str">
        <f t="shared" si="35"/>
        <v>O0724</v>
      </c>
      <c r="B725" s="6">
        <f ca="1">Orders[[#This Row],[Discount%]]</f>
        <v>0</v>
      </c>
      <c r="C725" t="str" cm="1">
        <f t="array" aca="1" ref="C725" ca="1">INDEX(Customers[Customer ID],RANDBETWEEN(1,200))</f>
        <v>C041</v>
      </c>
      <c r="D725" t="str" cm="1">
        <f t="array" aca="1" ref="D725" ca="1">INDEX(Products[Product ID],RANDBETWEEN(1,50))</f>
        <v>P002</v>
      </c>
      <c r="E725" t="str" cm="1">
        <f t="array" aca="1" ref="E725" ca="1">INDEX(Warehouses[Warehouse ID],RANDBETWEEN(1,8))</f>
        <v>W008</v>
      </c>
      <c r="F725">
        <f t="shared" ca="1" si="33"/>
        <v>9</v>
      </c>
      <c r="G725">
        <f ca="1">_xlfn.XLOOKUP(Orders[[#This Row],[Product ID]],Products[Product ID],Products[Selling Price])</f>
        <v>550</v>
      </c>
      <c r="H725" s="6">
        <f t="shared" ca="1" si="34"/>
        <v>0</v>
      </c>
      <c r="I725">
        <f ca="1">Orders[[#This Row],[Quantity]]*Orders[[#This Row],[Unit Price]]*(1-Orders[[#This Row],[Discount%]])</f>
        <v>4950</v>
      </c>
      <c r="J725" t="str" cm="1">
        <f t="array" aca="1" ref="J725" ca="1">INDEX(PaymentMethods[Payment Method],RANDBETWEEN(1,5))</f>
        <v>Net Banking</v>
      </c>
    </row>
    <row r="726" spans="1:10" x14ac:dyDescent="0.3">
      <c r="A726" t="str">
        <f t="shared" si="35"/>
        <v>O0725</v>
      </c>
      <c r="B726" s="6">
        <f ca="1">Orders[[#This Row],[Discount%]]</f>
        <v>0.03</v>
      </c>
      <c r="C726" t="str" cm="1">
        <f t="array" aca="1" ref="C726" ca="1">INDEX(Customers[Customer ID],RANDBETWEEN(1,200))</f>
        <v>C178</v>
      </c>
      <c r="D726" t="str" cm="1">
        <f t="array" aca="1" ref="D726" ca="1">INDEX(Products[Product ID],RANDBETWEEN(1,50))</f>
        <v>P043</v>
      </c>
      <c r="E726" t="str" cm="1">
        <f t="array" aca="1" ref="E726" ca="1">INDEX(Warehouses[Warehouse ID],RANDBETWEEN(1,8))</f>
        <v>W004</v>
      </c>
      <c r="F726">
        <f t="shared" ca="1" si="33"/>
        <v>6</v>
      </c>
      <c r="G726">
        <f ca="1">_xlfn.XLOOKUP(Orders[[#This Row],[Product ID]],Products[Product ID],Products[Selling Price])</f>
        <v>24500</v>
      </c>
      <c r="H726" s="6">
        <f t="shared" ca="1" si="34"/>
        <v>0.03</v>
      </c>
      <c r="I726">
        <f ca="1">Orders[[#This Row],[Quantity]]*Orders[[#This Row],[Unit Price]]*(1-Orders[[#This Row],[Discount%]])</f>
        <v>142590</v>
      </c>
      <c r="J726" t="str" cm="1">
        <f t="array" aca="1" ref="J726" ca="1">INDEX(PaymentMethods[Payment Method],RANDBETWEEN(1,5))</f>
        <v>Net Banking</v>
      </c>
    </row>
    <row r="727" spans="1:10" x14ac:dyDescent="0.3">
      <c r="A727" t="str">
        <f t="shared" si="35"/>
        <v>O0726</v>
      </c>
      <c r="B727" s="6">
        <f ca="1">Orders[[#This Row],[Discount%]]</f>
        <v>0.18</v>
      </c>
      <c r="C727" t="str" cm="1">
        <f t="array" aca="1" ref="C727" ca="1">INDEX(Customers[Customer ID],RANDBETWEEN(1,200))</f>
        <v>C162</v>
      </c>
      <c r="D727" t="str" cm="1">
        <f t="array" aca="1" ref="D727" ca="1">INDEX(Products[Product ID],RANDBETWEEN(1,50))</f>
        <v>P037</v>
      </c>
      <c r="E727" t="str" cm="1">
        <f t="array" aca="1" ref="E727" ca="1">INDEX(Warehouses[Warehouse ID],RANDBETWEEN(1,8))</f>
        <v>W005</v>
      </c>
      <c r="F727">
        <f t="shared" ca="1" si="33"/>
        <v>5</v>
      </c>
      <c r="G727">
        <f ca="1">_xlfn.XLOOKUP(Orders[[#This Row],[Product ID]],Products[Product ID],Products[Selling Price])</f>
        <v>550</v>
      </c>
      <c r="H727" s="6">
        <f t="shared" ca="1" si="34"/>
        <v>0.18</v>
      </c>
      <c r="I727">
        <f ca="1">Orders[[#This Row],[Quantity]]*Orders[[#This Row],[Unit Price]]*(1-Orders[[#This Row],[Discount%]])</f>
        <v>2255</v>
      </c>
      <c r="J727" t="str" cm="1">
        <f t="array" aca="1" ref="J727" ca="1">INDEX(PaymentMethods[Payment Method],RANDBETWEEN(1,5))</f>
        <v>Cash</v>
      </c>
    </row>
    <row r="728" spans="1:10" x14ac:dyDescent="0.3">
      <c r="A728" t="str">
        <f t="shared" si="35"/>
        <v>O0727</v>
      </c>
      <c r="B728" s="6">
        <f ca="1">Orders[[#This Row],[Discount%]]</f>
        <v>0.1</v>
      </c>
      <c r="C728" t="str" cm="1">
        <f t="array" aca="1" ref="C728" ca="1">INDEX(Customers[Customer ID],RANDBETWEEN(1,200))</f>
        <v>C038</v>
      </c>
      <c r="D728" t="str" cm="1">
        <f t="array" aca="1" ref="D728" ca="1">INDEX(Products[Product ID],RANDBETWEEN(1,50))</f>
        <v>P045</v>
      </c>
      <c r="E728" t="str" cm="1">
        <f t="array" aca="1" ref="E728" ca="1">INDEX(Warehouses[Warehouse ID],RANDBETWEEN(1,8))</f>
        <v>W005</v>
      </c>
      <c r="F728">
        <f t="shared" ca="1" si="33"/>
        <v>7</v>
      </c>
      <c r="G728">
        <f ca="1">_xlfn.XLOOKUP(Orders[[#This Row],[Product ID]],Products[Product ID],Products[Selling Price])</f>
        <v>1500</v>
      </c>
      <c r="H728" s="6">
        <f t="shared" ca="1" si="34"/>
        <v>0.1</v>
      </c>
      <c r="I728">
        <f ca="1">Orders[[#This Row],[Quantity]]*Orders[[#This Row],[Unit Price]]*(1-Orders[[#This Row],[Discount%]])</f>
        <v>9450</v>
      </c>
      <c r="J728" t="str" cm="1">
        <f t="array" aca="1" ref="J728" ca="1">INDEX(PaymentMethods[Payment Method],RANDBETWEEN(1,5))</f>
        <v>Debit Card</v>
      </c>
    </row>
    <row r="729" spans="1:10" x14ac:dyDescent="0.3">
      <c r="A729" t="str">
        <f t="shared" si="35"/>
        <v>O0728</v>
      </c>
      <c r="B729" s="6">
        <f ca="1">Orders[[#This Row],[Discount%]]</f>
        <v>0.19</v>
      </c>
      <c r="C729" t="str" cm="1">
        <f t="array" aca="1" ref="C729" ca="1">INDEX(Customers[Customer ID],RANDBETWEEN(1,200))</f>
        <v>C068</v>
      </c>
      <c r="D729" t="str" cm="1">
        <f t="array" aca="1" ref="D729" ca="1">INDEX(Products[Product ID],RANDBETWEEN(1,50))</f>
        <v>P042</v>
      </c>
      <c r="E729" t="str" cm="1">
        <f t="array" aca="1" ref="E729" ca="1">INDEX(Warehouses[Warehouse ID],RANDBETWEEN(1,8))</f>
        <v>W003</v>
      </c>
      <c r="F729">
        <f t="shared" ca="1" si="33"/>
        <v>10</v>
      </c>
      <c r="G729">
        <f ca="1">_xlfn.XLOOKUP(Orders[[#This Row],[Product ID]],Products[Product ID],Products[Selling Price])</f>
        <v>29000</v>
      </c>
      <c r="H729" s="6">
        <f t="shared" ca="1" si="34"/>
        <v>0.19</v>
      </c>
      <c r="I729">
        <f ca="1">Orders[[#This Row],[Quantity]]*Orders[[#This Row],[Unit Price]]*(1-Orders[[#This Row],[Discount%]])</f>
        <v>234900.00000000003</v>
      </c>
      <c r="J729" t="str" cm="1">
        <f t="array" aca="1" ref="J729" ca="1">INDEX(PaymentMethods[Payment Method],RANDBETWEEN(1,5))</f>
        <v>Debit Card</v>
      </c>
    </row>
    <row r="730" spans="1:10" x14ac:dyDescent="0.3">
      <c r="A730" t="str">
        <f t="shared" si="35"/>
        <v>O0729</v>
      </c>
      <c r="B730" s="6">
        <f ca="1">Orders[[#This Row],[Discount%]]</f>
        <v>0</v>
      </c>
      <c r="C730" t="str" cm="1">
        <f t="array" aca="1" ref="C730" ca="1">INDEX(Customers[Customer ID],RANDBETWEEN(1,200))</f>
        <v>C083</v>
      </c>
      <c r="D730" t="str" cm="1">
        <f t="array" aca="1" ref="D730" ca="1">INDEX(Products[Product ID],RANDBETWEEN(1,50))</f>
        <v>P004</v>
      </c>
      <c r="E730" t="str" cm="1">
        <f t="array" aca="1" ref="E730" ca="1">INDEX(Warehouses[Warehouse ID],RANDBETWEEN(1,8))</f>
        <v>W005</v>
      </c>
      <c r="F730">
        <f t="shared" ca="1" si="33"/>
        <v>5</v>
      </c>
      <c r="G730">
        <f ca="1">_xlfn.XLOOKUP(Orders[[#This Row],[Product ID]],Products[Product ID],Products[Selling Price])</f>
        <v>9000</v>
      </c>
      <c r="H730" s="6">
        <f t="shared" ca="1" si="34"/>
        <v>0</v>
      </c>
      <c r="I730">
        <f ca="1">Orders[[#This Row],[Quantity]]*Orders[[#This Row],[Unit Price]]*(1-Orders[[#This Row],[Discount%]])</f>
        <v>45000</v>
      </c>
      <c r="J730" t="str" cm="1">
        <f t="array" aca="1" ref="J730" ca="1">INDEX(PaymentMethods[Payment Method],RANDBETWEEN(1,5))</f>
        <v>Net Banking</v>
      </c>
    </row>
    <row r="731" spans="1:10" x14ac:dyDescent="0.3">
      <c r="A731" t="str">
        <f t="shared" si="35"/>
        <v>O0730</v>
      </c>
      <c r="B731" s="6">
        <f ca="1">Orders[[#This Row],[Discount%]]</f>
        <v>0.08</v>
      </c>
      <c r="C731" t="str" cm="1">
        <f t="array" aca="1" ref="C731" ca="1">INDEX(Customers[Customer ID],RANDBETWEEN(1,200))</f>
        <v>C188</v>
      </c>
      <c r="D731" t="str" cm="1">
        <f t="array" aca="1" ref="D731" ca="1">INDEX(Products[Product ID],RANDBETWEEN(1,50))</f>
        <v>P022</v>
      </c>
      <c r="E731" t="str" cm="1">
        <f t="array" aca="1" ref="E731" ca="1">INDEX(Warehouses[Warehouse ID],RANDBETWEEN(1,8))</f>
        <v>W004</v>
      </c>
      <c r="F731">
        <f t="shared" ca="1" si="33"/>
        <v>5</v>
      </c>
      <c r="G731">
        <f ca="1">_xlfn.XLOOKUP(Orders[[#This Row],[Product ID]],Products[Product ID],Products[Selling Price])</f>
        <v>5000</v>
      </c>
      <c r="H731" s="6">
        <f t="shared" ca="1" si="34"/>
        <v>0.08</v>
      </c>
      <c r="I731">
        <f ca="1">Orders[[#This Row],[Quantity]]*Orders[[#This Row],[Unit Price]]*(1-Orders[[#This Row],[Discount%]])</f>
        <v>23000</v>
      </c>
      <c r="J731" t="str" cm="1">
        <f t="array" aca="1" ref="J731" ca="1">INDEX(PaymentMethods[Payment Method],RANDBETWEEN(1,5))</f>
        <v>Net Banking</v>
      </c>
    </row>
    <row r="732" spans="1:10" x14ac:dyDescent="0.3">
      <c r="A732" t="str">
        <f t="shared" si="35"/>
        <v>O0731</v>
      </c>
      <c r="B732" s="6">
        <f ca="1">Orders[[#This Row],[Discount%]]</f>
        <v>0.2</v>
      </c>
      <c r="C732" t="str" cm="1">
        <f t="array" aca="1" ref="C732" ca="1">INDEX(Customers[Customer ID],RANDBETWEEN(1,200))</f>
        <v>C159</v>
      </c>
      <c r="D732" t="str" cm="1">
        <f t="array" aca="1" ref="D732" ca="1">INDEX(Products[Product ID],RANDBETWEEN(1,50))</f>
        <v>P032</v>
      </c>
      <c r="E732" t="str" cm="1">
        <f t="array" aca="1" ref="E732" ca="1">INDEX(Warehouses[Warehouse ID],RANDBETWEEN(1,8))</f>
        <v>W007</v>
      </c>
      <c r="F732">
        <f t="shared" ca="1" si="33"/>
        <v>10</v>
      </c>
      <c r="G732">
        <f ca="1">_xlfn.XLOOKUP(Orders[[#This Row],[Product ID]],Products[Product ID],Products[Selling Price])</f>
        <v>220</v>
      </c>
      <c r="H732" s="6">
        <f t="shared" ca="1" si="34"/>
        <v>0.2</v>
      </c>
      <c r="I732">
        <f ca="1">Orders[[#This Row],[Quantity]]*Orders[[#This Row],[Unit Price]]*(1-Orders[[#This Row],[Discount%]])</f>
        <v>1760</v>
      </c>
      <c r="J732" t="str" cm="1">
        <f t="array" aca="1" ref="J732" ca="1">INDEX(PaymentMethods[Payment Method],RANDBETWEEN(1,5))</f>
        <v>Credit Card</v>
      </c>
    </row>
    <row r="733" spans="1:10" x14ac:dyDescent="0.3">
      <c r="A733" t="str">
        <f t="shared" si="35"/>
        <v>O0732</v>
      </c>
      <c r="B733" s="6">
        <f ca="1">Orders[[#This Row],[Discount%]]</f>
        <v>0.13</v>
      </c>
      <c r="C733" t="str" cm="1">
        <f t="array" aca="1" ref="C733" ca="1">INDEX(Customers[Customer ID],RANDBETWEEN(1,200))</f>
        <v>C025</v>
      </c>
      <c r="D733" t="str" cm="1">
        <f t="array" aca="1" ref="D733" ca="1">INDEX(Products[Product ID],RANDBETWEEN(1,50))</f>
        <v>P026</v>
      </c>
      <c r="E733" t="str" cm="1">
        <f t="array" aca="1" ref="E733" ca="1">INDEX(Warehouses[Warehouse ID],RANDBETWEEN(1,8))</f>
        <v>W007</v>
      </c>
      <c r="F733">
        <f t="shared" ca="1" si="33"/>
        <v>3</v>
      </c>
      <c r="G733">
        <f ca="1">_xlfn.XLOOKUP(Orders[[#This Row],[Product ID]],Products[Product ID],Products[Selling Price])</f>
        <v>650</v>
      </c>
      <c r="H733" s="6">
        <f t="shared" ca="1" si="34"/>
        <v>0.13</v>
      </c>
      <c r="I733">
        <f ca="1">Orders[[#This Row],[Quantity]]*Orders[[#This Row],[Unit Price]]*(1-Orders[[#This Row],[Discount%]])</f>
        <v>1696.5</v>
      </c>
      <c r="J733" t="str" cm="1">
        <f t="array" aca="1" ref="J733" ca="1">INDEX(PaymentMethods[Payment Method],RANDBETWEEN(1,5))</f>
        <v>Net Banking</v>
      </c>
    </row>
    <row r="734" spans="1:10" x14ac:dyDescent="0.3">
      <c r="A734" t="str">
        <f t="shared" si="35"/>
        <v>O0733</v>
      </c>
      <c r="B734" s="6">
        <f ca="1">Orders[[#This Row],[Discount%]]</f>
        <v>0.01</v>
      </c>
      <c r="C734" t="str" cm="1">
        <f t="array" aca="1" ref="C734" ca="1">INDEX(Customers[Customer ID],RANDBETWEEN(1,200))</f>
        <v>C061</v>
      </c>
      <c r="D734" t="str" cm="1">
        <f t="array" aca="1" ref="D734" ca="1">INDEX(Products[Product ID],RANDBETWEEN(1,50))</f>
        <v>P027</v>
      </c>
      <c r="E734" t="str" cm="1">
        <f t="array" aca="1" ref="E734" ca="1">INDEX(Warehouses[Warehouse ID],RANDBETWEEN(1,8))</f>
        <v>W002</v>
      </c>
      <c r="F734">
        <f t="shared" ca="1" si="33"/>
        <v>5</v>
      </c>
      <c r="G734">
        <f ca="1">_xlfn.XLOOKUP(Orders[[#This Row],[Product ID]],Products[Product ID],Products[Selling Price])</f>
        <v>4000</v>
      </c>
      <c r="H734" s="6">
        <f t="shared" ca="1" si="34"/>
        <v>0.01</v>
      </c>
      <c r="I734">
        <f ca="1">Orders[[#This Row],[Quantity]]*Orders[[#This Row],[Unit Price]]*(1-Orders[[#This Row],[Discount%]])</f>
        <v>19800</v>
      </c>
      <c r="J734" t="str" cm="1">
        <f t="array" aca="1" ref="J734" ca="1">INDEX(PaymentMethods[Payment Method],RANDBETWEEN(1,5))</f>
        <v>Credit Card</v>
      </c>
    </row>
    <row r="735" spans="1:10" x14ac:dyDescent="0.3">
      <c r="A735" t="str">
        <f t="shared" si="35"/>
        <v>O0734</v>
      </c>
      <c r="B735" s="6">
        <f ca="1">Orders[[#This Row],[Discount%]]</f>
        <v>0.16</v>
      </c>
      <c r="C735" t="str" cm="1">
        <f t="array" aca="1" ref="C735" ca="1">INDEX(Customers[Customer ID],RANDBETWEEN(1,200))</f>
        <v>C074</v>
      </c>
      <c r="D735" t="str" cm="1">
        <f t="array" aca="1" ref="D735" ca="1">INDEX(Products[Product ID],RANDBETWEEN(1,50))</f>
        <v>P034</v>
      </c>
      <c r="E735" t="str" cm="1">
        <f t="array" aca="1" ref="E735" ca="1">INDEX(Warehouses[Warehouse ID],RANDBETWEEN(1,8))</f>
        <v>W003</v>
      </c>
      <c r="F735">
        <f t="shared" ca="1" si="33"/>
        <v>1</v>
      </c>
      <c r="G735">
        <f ca="1">_xlfn.XLOOKUP(Orders[[#This Row],[Product ID]],Products[Product ID],Products[Selling Price])</f>
        <v>120</v>
      </c>
      <c r="H735" s="6">
        <f t="shared" ca="1" si="34"/>
        <v>0.16</v>
      </c>
      <c r="I735">
        <f ca="1">Orders[[#This Row],[Quantity]]*Orders[[#This Row],[Unit Price]]*(1-Orders[[#This Row],[Discount%]])</f>
        <v>100.8</v>
      </c>
      <c r="J735" t="str" cm="1">
        <f t="array" aca="1" ref="J735" ca="1">INDEX(PaymentMethods[Payment Method],RANDBETWEEN(1,5))</f>
        <v>Credit Card</v>
      </c>
    </row>
    <row r="736" spans="1:10" x14ac:dyDescent="0.3">
      <c r="A736" t="str">
        <f t="shared" si="35"/>
        <v>O0735</v>
      </c>
      <c r="B736" s="6">
        <f ca="1">Orders[[#This Row],[Discount%]]</f>
        <v>0</v>
      </c>
      <c r="C736" t="str" cm="1">
        <f t="array" aca="1" ref="C736" ca="1">INDEX(Customers[Customer ID],RANDBETWEEN(1,200))</f>
        <v>C047</v>
      </c>
      <c r="D736" t="str" cm="1">
        <f t="array" aca="1" ref="D736" ca="1">INDEX(Products[Product ID],RANDBETWEEN(1,50))</f>
        <v>P024</v>
      </c>
      <c r="E736" t="str" cm="1">
        <f t="array" aca="1" ref="E736" ca="1">INDEX(Warehouses[Warehouse ID],RANDBETWEEN(1,8))</f>
        <v>W003</v>
      </c>
      <c r="F736">
        <f t="shared" ca="1" si="33"/>
        <v>1</v>
      </c>
      <c r="G736">
        <f ca="1">_xlfn.XLOOKUP(Orders[[#This Row],[Product ID]],Products[Product ID],Products[Selling Price])</f>
        <v>1700</v>
      </c>
      <c r="H736" s="6">
        <f t="shared" ca="1" si="34"/>
        <v>0</v>
      </c>
      <c r="I736">
        <f ca="1">Orders[[#This Row],[Quantity]]*Orders[[#This Row],[Unit Price]]*(1-Orders[[#This Row],[Discount%]])</f>
        <v>1700</v>
      </c>
      <c r="J736" t="str" cm="1">
        <f t="array" aca="1" ref="J736" ca="1">INDEX(PaymentMethods[Payment Method],RANDBETWEEN(1,5))</f>
        <v>Credit Card</v>
      </c>
    </row>
    <row r="737" spans="1:10" x14ac:dyDescent="0.3">
      <c r="A737" t="str">
        <f t="shared" si="35"/>
        <v>O0736</v>
      </c>
      <c r="B737" s="6">
        <f ca="1">Orders[[#This Row],[Discount%]]</f>
        <v>0.17</v>
      </c>
      <c r="C737" t="str" cm="1">
        <f t="array" aca="1" ref="C737" ca="1">INDEX(Customers[Customer ID],RANDBETWEEN(1,200))</f>
        <v>C143</v>
      </c>
      <c r="D737" t="str" cm="1">
        <f t="array" aca="1" ref="D737" ca="1">INDEX(Products[Product ID],RANDBETWEEN(1,50))</f>
        <v>P013</v>
      </c>
      <c r="E737" t="str" cm="1">
        <f t="array" aca="1" ref="E737" ca="1">INDEX(Warehouses[Warehouse ID],RANDBETWEEN(1,8))</f>
        <v>W001</v>
      </c>
      <c r="F737">
        <f t="shared" ca="1" si="33"/>
        <v>6</v>
      </c>
      <c r="G737">
        <f ca="1">_xlfn.XLOOKUP(Orders[[#This Row],[Product ID]],Products[Product ID],Products[Selling Price])</f>
        <v>25</v>
      </c>
      <c r="H737" s="6">
        <f t="shared" ca="1" si="34"/>
        <v>0.17</v>
      </c>
      <c r="I737">
        <f ca="1">Orders[[#This Row],[Quantity]]*Orders[[#This Row],[Unit Price]]*(1-Orders[[#This Row],[Discount%]])</f>
        <v>124.5</v>
      </c>
      <c r="J737" t="str" cm="1">
        <f t="array" aca="1" ref="J737" ca="1">INDEX(PaymentMethods[Payment Method],RANDBETWEEN(1,5))</f>
        <v>Cash</v>
      </c>
    </row>
    <row r="738" spans="1:10" x14ac:dyDescent="0.3">
      <c r="A738" t="str">
        <f t="shared" si="35"/>
        <v>O0737</v>
      </c>
      <c r="B738" s="6">
        <f ca="1">Orders[[#This Row],[Discount%]]</f>
        <v>0.09</v>
      </c>
      <c r="C738" t="str" cm="1">
        <f t="array" aca="1" ref="C738" ca="1">INDEX(Customers[Customer ID],RANDBETWEEN(1,200))</f>
        <v>C189</v>
      </c>
      <c r="D738" t="str" cm="1">
        <f t="array" aca="1" ref="D738" ca="1">INDEX(Products[Product ID],RANDBETWEEN(1,50))</f>
        <v>P009</v>
      </c>
      <c r="E738" t="str" cm="1">
        <f t="array" aca="1" ref="E738" ca="1">INDEX(Warehouses[Warehouse ID],RANDBETWEEN(1,8))</f>
        <v>W008</v>
      </c>
      <c r="F738">
        <f t="shared" ca="1" si="33"/>
        <v>4</v>
      </c>
      <c r="G738">
        <f ca="1">_xlfn.XLOOKUP(Orders[[#This Row],[Product ID]],Products[Product ID],Products[Selling Price])</f>
        <v>20000</v>
      </c>
      <c r="H738" s="6">
        <f t="shared" ca="1" si="34"/>
        <v>0.09</v>
      </c>
      <c r="I738">
        <f ca="1">Orders[[#This Row],[Quantity]]*Orders[[#This Row],[Unit Price]]*(1-Orders[[#This Row],[Discount%]])</f>
        <v>72800</v>
      </c>
      <c r="J738" t="str" cm="1">
        <f t="array" aca="1" ref="J738" ca="1">INDEX(PaymentMethods[Payment Method],RANDBETWEEN(1,5))</f>
        <v>Debit Card</v>
      </c>
    </row>
    <row r="739" spans="1:10" x14ac:dyDescent="0.3">
      <c r="A739" t="str">
        <f t="shared" si="35"/>
        <v>O0738</v>
      </c>
      <c r="B739" s="6">
        <f ca="1">Orders[[#This Row],[Discount%]]</f>
        <v>0</v>
      </c>
      <c r="C739" t="str" cm="1">
        <f t="array" aca="1" ref="C739" ca="1">INDEX(Customers[Customer ID],RANDBETWEEN(1,200))</f>
        <v>C098</v>
      </c>
      <c r="D739" t="str" cm="1">
        <f t="array" aca="1" ref="D739" ca="1">INDEX(Products[Product ID],RANDBETWEEN(1,50))</f>
        <v>P035</v>
      </c>
      <c r="E739" t="str" cm="1">
        <f t="array" aca="1" ref="E739" ca="1">INDEX(Warehouses[Warehouse ID],RANDBETWEEN(1,8))</f>
        <v>W005</v>
      </c>
      <c r="F739">
        <f t="shared" ca="1" si="33"/>
        <v>10</v>
      </c>
      <c r="G739">
        <f ca="1">_xlfn.XLOOKUP(Orders[[#This Row],[Product ID]],Products[Product ID],Products[Selling Price])</f>
        <v>300</v>
      </c>
      <c r="H739" s="6">
        <f t="shared" ca="1" si="34"/>
        <v>0</v>
      </c>
      <c r="I739">
        <f ca="1">Orders[[#This Row],[Quantity]]*Orders[[#This Row],[Unit Price]]*(1-Orders[[#This Row],[Discount%]])</f>
        <v>3000</v>
      </c>
      <c r="J739" t="str" cm="1">
        <f t="array" aca="1" ref="J739" ca="1">INDEX(PaymentMethods[Payment Method],RANDBETWEEN(1,5))</f>
        <v>UPI</v>
      </c>
    </row>
    <row r="740" spans="1:10" x14ac:dyDescent="0.3">
      <c r="A740" t="str">
        <f t="shared" si="35"/>
        <v>O0739</v>
      </c>
      <c r="B740" s="6">
        <f ca="1">Orders[[#This Row],[Discount%]]</f>
        <v>0.14000000000000001</v>
      </c>
      <c r="C740" t="str" cm="1">
        <f t="array" aca="1" ref="C740" ca="1">INDEX(Customers[Customer ID],RANDBETWEEN(1,200))</f>
        <v>C022</v>
      </c>
      <c r="D740" t="str" cm="1">
        <f t="array" aca="1" ref="D740" ca="1">INDEX(Products[Product ID],RANDBETWEEN(1,50))</f>
        <v>P046</v>
      </c>
      <c r="E740" t="str" cm="1">
        <f t="array" aca="1" ref="E740" ca="1">INDEX(Warehouses[Warehouse ID],RANDBETWEEN(1,8))</f>
        <v>W005</v>
      </c>
      <c r="F740">
        <f t="shared" ca="1" si="33"/>
        <v>6</v>
      </c>
      <c r="G740">
        <f ca="1">_xlfn.XLOOKUP(Orders[[#This Row],[Product ID]],Products[Product ID],Products[Selling Price])</f>
        <v>2500</v>
      </c>
      <c r="H740" s="6">
        <f t="shared" ca="1" si="34"/>
        <v>0.14000000000000001</v>
      </c>
      <c r="I740">
        <f ca="1">Orders[[#This Row],[Quantity]]*Orders[[#This Row],[Unit Price]]*(1-Orders[[#This Row],[Discount%]])</f>
        <v>12900</v>
      </c>
      <c r="J740" t="str" cm="1">
        <f t="array" aca="1" ref="J740" ca="1">INDEX(PaymentMethods[Payment Method],RANDBETWEEN(1,5))</f>
        <v>Cash</v>
      </c>
    </row>
    <row r="741" spans="1:10" x14ac:dyDescent="0.3">
      <c r="A741" t="str">
        <f t="shared" si="35"/>
        <v>O0740</v>
      </c>
      <c r="B741" s="6">
        <f ca="1">Orders[[#This Row],[Discount%]]</f>
        <v>0.09</v>
      </c>
      <c r="C741" t="str" cm="1">
        <f t="array" aca="1" ref="C741" ca="1">INDEX(Customers[Customer ID],RANDBETWEEN(1,200))</f>
        <v>C088</v>
      </c>
      <c r="D741" t="str" cm="1">
        <f t="array" aca="1" ref="D741" ca="1">INDEX(Products[Product ID],RANDBETWEEN(1,50))</f>
        <v>P047</v>
      </c>
      <c r="E741" t="str" cm="1">
        <f t="array" aca="1" ref="E741" ca="1">INDEX(Warehouses[Warehouse ID],RANDBETWEEN(1,8))</f>
        <v>W007</v>
      </c>
      <c r="F741">
        <f t="shared" ca="1" si="33"/>
        <v>4</v>
      </c>
      <c r="G741">
        <f ca="1">_xlfn.XLOOKUP(Orders[[#This Row],[Product ID]],Products[Product ID],Products[Selling Price])</f>
        <v>6200</v>
      </c>
      <c r="H741" s="6">
        <f t="shared" ca="1" si="34"/>
        <v>0.09</v>
      </c>
      <c r="I741">
        <f ca="1">Orders[[#This Row],[Quantity]]*Orders[[#This Row],[Unit Price]]*(1-Orders[[#This Row],[Discount%]])</f>
        <v>22568</v>
      </c>
      <c r="J741" t="str" cm="1">
        <f t="array" aca="1" ref="J741" ca="1">INDEX(PaymentMethods[Payment Method],RANDBETWEEN(1,5))</f>
        <v>Cash</v>
      </c>
    </row>
    <row r="742" spans="1:10" x14ac:dyDescent="0.3">
      <c r="A742" t="str">
        <f t="shared" si="35"/>
        <v>O0741</v>
      </c>
      <c r="B742" s="6">
        <f ca="1">Orders[[#This Row],[Discount%]]</f>
        <v>0.11</v>
      </c>
      <c r="C742" t="str" cm="1">
        <f t="array" aca="1" ref="C742" ca="1">INDEX(Customers[Customer ID],RANDBETWEEN(1,200))</f>
        <v>C047</v>
      </c>
      <c r="D742" t="str" cm="1">
        <f t="array" aca="1" ref="D742" ca="1">INDEX(Products[Product ID],RANDBETWEEN(1,50))</f>
        <v>P039</v>
      </c>
      <c r="E742" t="str" cm="1">
        <f t="array" aca="1" ref="E742" ca="1">INDEX(Warehouses[Warehouse ID],RANDBETWEEN(1,8))</f>
        <v>W001</v>
      </c>
      <c r="F742">
        <f t="shared" ca="1" si="33"/>
        <v>6</v>
      </c>
      <c r="G742">
        <f ca="1">_xlfn.XLOOKUP(Orders[[#This Row],[Product ID]],Products[Product ID],Products[Selling Price])</f>
        <v>250</v>
      </c>
      <c r="H742" s="6">
        <f t="shared" ca="1" si="34"/>
        <v>0.11</v>
      </c>
      <c r="I742">
        <f ca="1">Orders[[#This Row],[Quantity]]*Orders[[#This Row],[Unit Price]]*(1-Orders[[#This Row],[Discount%]])</f>
        <v>1335</v>
      </c>
      <c r="J742" t="str" cm="1">
        <f t="array" aca="1" ref="J742" ca="1">INDEX(PaymentMethods[Payment Method],RANDBETWEEN(1,5))</f>
        <v>UPI</v>
      </c>
    </row>
    <row r="743" spans="1:10" x14ac:dyDescent="0.3">
      <c r="A743" t="str">
        <f t="shared" si="35"/>
        <v>O0742</v>
      </c>
      <c r="B743" s="6">
        <f ca="1">Orders[[#This Row],[Discount%]]</f>
        <v>0.08</v>
      </c>
      <c r="C743" t="str" cm="1">
        <f t="array" aca="1" ref="C743" ca="1">INDEX(Customers[Customer ID],RANDBETWEEN(1,200))</f>
        <v>C187</v>
      </c>
      <c r="D743" t="str" cm="1">
        <f t="array" aca="1" ref="D743" ca="1">INDEX(Products[Product ID],RANDBETWEEN(1,50))</f>
        <v>P015</v>
      </c>
      <c r="E743" t="str" cm="1">
        <f t="array" aca="1" ref="E743" ca="1">INDEX(Warehouses[Warehouse ID],RANDBETWEEN(1,8))</f>
        <v>W005</v>
      </c>
      <c r="F743">
        <f t="shared" ca="1" si="33"/>
        <v>8</v>
      </c>
      <c r="G743">
        <f ca="1">_xlfn.XLOOKUP(Orders[[#This Row],[Product ID]],Products[Product ID],Products[Selling Price])</f>
        <v>1800</v>
      </c>
      <c r="H743" s="6">
        <f t="shared" ca="1" si="34"/>
        <v>0.08</v>
      </c>
      <c r="I743">
        <f ca="1">Orders[[#This Row],[Quantity]]*Orders[[#This Row],[Unit Price]]*(1-Orders[[#This Row],[Discount%]])</f>
        <v>13248</v>
      </c>
      <c r="J743" t="str" cm="1">
        <f t="array" aca="1" ref="J743" ca="1">INDEX(PaymentMethods[Payment Method],RANDBETWEEN(1,5))</f>
        <v>Net Banking</v>
      </c>
    </row>
    <row r="744" spans="1:10" x14ac:dyDescent="0.3">
      <c r="A744" t="str">
        <f t="shared" si="35"/>
        <v>O0743</v>
      </c>
      <c r="B744" s="6">
        <f ca="1">Orders[[#This Row],[Discount%]]</f>
        <v>0.02</v>
      </c>
      <c r="C744" t="str" cm="1">
        <f t="array" aca="1" ref="C744" ca="1">INDEX(Customers[Customer ID],RANDBETWEEN(1,200))</f>
        <v>C146</v>
      </c>
      <c r="D744" t="str" cm="1">
        <f t="array" aca="1" ref="D744" ca="1">INDEX(Products[Product ID],RANDBETWEEN(1,50))</f>
        <v>P014</v>
      </c>
      <c r="E744" t="str" cm="1">
        <f t="array" aca="1" ref="E744" ca="1">INDEX(Warehouses[Warehouse ID],RANDBETWEEN(1,8))</f>
        <v>W005</v>
      </c>
      <c r="F744">
        <f t="shared" ca="1" si="33"/>
        <v>8</v>
      </c>
      <c r="G744">
        <f ca="1">_xlfn.XLOOKUP(Orders[[#This Row],[Product ID]],Products[Product ID],Products[Selling Price])</f>
        <v>800</v>
      </c>
      <c r="H744" s="6">
        <f t="shared" ca="1" si="34"/>
        <v>0.02</v>
      </c>
      <c r="I744">
        <f ca="1">Orders[[#This Row],[Quantity]]*Orders[[#This Row],[Unit Price]]*(1-Orders[[#This Row],[Discount%]])</f>
        <v>6272</v>
      </c>
      <c r="J744" t="str" cm="1">
        <f t="array" aca="1" ref="J744" ca="1">INDEX(PaymentMethods[Payment Method],RANDBETWEEN(1,5))</f>
        <v>Cash</v>
      </c>
    </row>
    <row r="745" spans="1:10" x14ac:dyDescent="0.3">
      <c r="A745" t="str">
        <f t="shared" si="35"/>
        <v>O0744</v>
      </c>
      <c r="B745" s="6">
        <f ca="1">Orders[[#This Row],[Discount%]]</f>
        <v>0.05</v>
      </c>
      <c r="C745" t="str" cm="1">
        <f t="array" aca="1" ref="C745" ca="1">INDEX(Customers[Customer ID],RANDBETWEEN(1,200))</f>
        <v>C120</v>
      </c>
      <c r="D745" t="str" cm="1">
        <f t="array" aca="1" ref="D745" ca="1">INDEX(Products[Product ID],RANDBETWEEN(1,50))</f>
        <v>P003</v>
      </c>
      <c r="E745" t="str" cm="1">
        <f t="array" aca="1" ref="E745" ca="1">INDEX(Warehouses[Warehouse ID],RANDBETWEEN(1,8))</f>
        <v>W004</v>
      </c>
      <c r="F745">
        <f t="shared" ca="1" si="33"/>
        <v>7</v>
      </c>
      <c r="G745">
        <f ca="1">_xlfn.XLOOKUP(Orders[[#This Row],[Product ID]],Products[Product ID],Products[Selling Price])</f>
        <v>900</v>
      </c>
      <c r="H745" s="6">
        <f t="shared" ca="1" si="34"/>
        <v>0.05</v>
      </c>
      <c r="I745">
        <f ca="1">Orders[[#This Row],[Quantity]]*Orders[[#This Row],[Unit Price]]*(1-Orders[[#This Row],[Discount%]])</f>
        <v>5985</v>
      </c>
      <c r="J745" t="str" cm="1">
        <f t="array" aca="1" ref="J745" ca="1">INDEX(PaymentMethods[Payment Method],RANDBETWEEN(1,5))</f>
        <v>Debit Card</v>
      </c>
    </row>
    <row r="746" spans="1:10" x14ac:dyDescent="0.3">
      <c r="A746" t="str">
        <f t="shared" si="35"/>
        <v>O0745</v>
      </c>
      <c r="B746" s="6">
        <f ca="1">Orders[[#This Row],[Discount%]]</f>
        <v>0.03</v>
      </c>
      <c r="C746" t="str" cm="1">
        <f t="array" aca="1" ref="C746" ca="1">INDEX(Customers[Customer ID],RANDBETWEEN(1,200))</f>
        <v>C116</v>
      </c>
      <c r="D746" t="str" cm="1">
        <f t="array" aca="1" ref="D746" ca="1">INDEX(Products[Product ID],RANDBETWEEN(1,50))</f>
        <v>P046</v>
      </c>
      <c r="E746" t="str" cm="1">
        <f t="array" aca="1" ref="E746" ca="1">INDEX(Warehouses[Warehouse ID],RANDBETWEEN(1,8))</f>
        <v>W002</v>
      </c>
      <c r="F746">
        <f t="shared" ca="1" si="33"/>
        <v>1</v>
      </c>
      <c r="G746">
        <f ca="1">_xlfn.XLOOKUP(Orders[[#This Row],[Product ID]],Products[Product ID],Products[Selling Price])</f>
        <v>2500</v>
      </c>
      <c r="H746" s="6">
        <f t="shared" ca="1" si="34"/>
        <v>0.03</v>
      </c>
      <c r="I746">
        <f ca="1">Orders[[#This Row],[Quantity]]*Orders[[#This Row],[Unit Price]]*(1-Orders[[#This Row],[Discount%]])</f>
        <v>2425</v>
      </c>
      <c r="J746" t="str" cm="1">
        <f t="array" aca="1" ref="J746" ca="1">INDEX(PaymentMethods[Payment Method],RANDBETWEEN(1,5))</f>
        <v>Cash</v>
      </c>
    </row>
    <row r="747" spans="1:10" x14ac:dyDescent="0.3">
      <c r="A747" t="str">
        <f t="shared" si="35"/>
        <v>O0746</v>
      </c>
      <c r="B747" s="6">
        <f ca="1">Orders[[#This Row],[Discount%]]</f>
        <v>0.1</v>
      </c>
      <c r="C747" t="str" cm="1">
        <f t="array" aca="1" ref="C747" ca="1">INDEX(Customers[Customer ID],RANDBETWEEN(1,200))</f>
        <v>C154</v>
      </c>
      <c r="D747" t="str" cm="1">
        <f t="array" aca="1" ref="D747" ca="1">INDEX(Products[Product ID],RANDBETWEEN(1,50))</f>
        <v>P023</v>
      </c>
      <c r="E747" t="str" cm="1">
        <f t="array" aca="1" ref="E747" ca="1">INDEX(Warehouses[Warehouse ID],RANDBETWEEN(1,8))</f>
        <v>W008</v>
      </c>
      <c r="F747">
        <f t="shared" ca="1" si="33"/>
        <v>6</v>
      </c>
      <c r="G747">
        <f ca="1">_xlfn.XLOOKUP(Orders[[#This Row],[Product ID]],Products[Product ID],Products[Selling Price])</f>
        <v>2300</v>
      </c>
      <c r="H747" s="6">
        <f t="shared" ca="1" si="34"/>
        <v>0.1</v>
      </c>
      <c r="I747">
        <f ca="1">Orders[[#This Row],[Quantity]]*Orders[[#This Row],[Unit Price]]*(1-Orders[[#This Row],[Discount%]])</f>
        <v>12420</v>
      </c>
      <c r="J747" t="str" cm="1">
        <f t="array" aca="1" ref="J747" ca="1">INDEX(PaymentMethods[Payment Method],RANDBETWEEN(1,5))</f>
        <v>Net Banking</v>
      </c>
    </row>
    <row r="748" spans="1:10" x14ac:dyDescent="0.3">
      <c r="A748" t="str">
        <f t="shared" si="35"/>
        <v>O0747</v>
      </c>
      <c r="B748" s="6">
        <f ca="1">Orders[[#This Row],[Discount%]]</f>
        <v>0.03</v>
      </c>
      <c r="C748" t="str" cm="1">
        <f t="array" aca="1" ref="C748" ca="1">INDEX(Customers[Customer ID],RANDBETWEEN(1,200))</f>
        <v>C187</v>
      </c>
      <c r="D748" t="str" cm="1">
        <f t="array" aca="1" ref="D748" ca="1">INDEX(Products[Product ID],RANDBETWEEN(1,50))</f>
        <v>P020</v>
      </c>
      <c r="E748" t="str" cm="1">
        <f t="array" aca="1" ref="E748" ca="1">INDEX(Warehouses[Warehouse ID],RANDBETWEEN(1,8))</f>
        <v>W001</v>
      </c>
      <c r="F748">
        <f t="shared" ca="1" si="33"/>
        <v>5</v>
      </c>
      <c r="G748">
        <f ca="1">_xlfn.XLOOKUP(Orders[[#This Row],[Product ID]],Products[Product ID],Products[Selling Price])</f>
        <v>450</v>
      </c>
      <c r="H748" s="6">
        <f t="shared" ca="1" si="34"/>
        <v>0.03</v>
      </c>
      <c r="I748">
        <f ca="1">Orders[[#This Row],[Quantity]]*Orders[[#This Row],[Unit Price]]*(1-Orders[[#This Row],[Discount%]])</f>
        <v>2182.5</v>
      </c>
      <c r="J748" t="str" cm="1">
        <f t="array" aca="1" ref="J748" ca="1">INDEX(PaymentMethods[Payment Method],RANDBETWEEN(1,5))</f>
        <v>Credit Card</v>
      </c>
    </row>
    <row r="749" spans="1:10" x14ac:dyDescent="0.3">
      <c r="A749" t="str">
        <f t="shared" si="35"/>
        <v>O0748</v>
      </c>
      <c r="B749" s="6">
        <f ca="1">Orders[[#This Row],[Discount%]]</f>
        <v>0.1</v>
      </c>
      <c r="C749" t="str" cm="1">
        <f t="array" aca="1" ref="C749" ca="1">INDEX(Customers[Customer ID],RANDBETWEEN(1,200))</f>
        <v>C085</v>
      </c>
      <c r="D749" t="str" cm="1">
        <f t="array" aca="1" ref="D749" ca="1">INDEX(Products[Product ID],RANDBETWEEN(1,50))</f>
        <v>P008</v>
      </c>
      <c r="E749" t="str" cm="1">
        <f t="array" aca="1" ref="E749" ca="1">INDEX(Warehouses[Warehouse ID],RANDBETWEEN(1,8))</f>
        <v>W008</v>
      </c>
      <c r="F749">
        <f t="shared" ca="1" si="33"/>
        <v>9</v>
      </c>
      <c r="G749">
        <f ca="1">_xlfn.XLOOKUP(Orders[[#This Row],[Product ID]],Products[Product ID],Products[Selling Price])</f>
        <v>4200</v>
      </c>
      <c r="H749" s="6">
        <f t="shared" ca="1" si="34"/>
        <v>0.1</v>
      </c>
      <c r="I749">
        <f ca="1">Orders[[#This Row],[Quantity]]*Orders[[#This Row],[Unit Price]]*(1-Orders[[#This Row],[Discount%]])</f>
        <v>34020</v>
      </c>
      <c r="J749" t="str" cm="1">
        <f t="array" aca="1" ref="J749" ca="1">INDEX(PaymentMethods[Payment Method],RANDBETWEEN(1,5))</f>
        <v>Cash</v>
      </c>
    </row>
    <row r="750" spans="1:10" x14ac:dyDescent="0.3">
      <c r="A750" t="str">
        <f t="shared" si="35"/>
        <v>O0749</v>
      </c>
      <c r="B750" s="6">
        <f ca="1">Orders[[#This Row],[Discount%]]</f>
        <v>0.1</v>
      </c>
      <c r="C750" t="str" cm="1">
        <f t="array" aca="1" ref="C750" ca="1">INDEX(Customers[Customer ID],RANDBETWEEN(1,200))</f>
        <v>C198</v>
      </c>
      <c r="D750" t="str" cm="1">
        <f t="array" aca="1" ref="D750" ca="1">INDEX(Products[Product ID],RANDBETWEEN(1,50))</f>
        <v>P038</v>
      </c>
      <c r="E750" t="str" cm="1">
        <f t="array" aca="1" ref="E750" ca="1">INDEX(Warehouses[Warehouse ID],RANDBETWEEN(1,8))</f>
        <v>W007</v>
      </c>
      <c r="F750">
        <f t="shared" ca="1" si="33"/>
        <v>4</v>
      </c>
      <c r="G750">
        <f ca="1">_xlfn.XLOOKUP(Orders[[#This Row],[Product ID]],Products[Product ID],Products[Selling Price])</f>
        <v>1500</v>
      </c>
      <c r="H750" s="6">
        <f t="shared" ca="1" si="34"/>
        <v>0.1</v>
      </c>
      <c r="I750">
        <f ca="1">Orders[[#This Row],[Quantity]]*Orders[[#This Row],[Unit Price]]*(1-Orders[[#This Row],[Discount%]])</f>
        <v>5400</v>
      </c>
      <c r="J750" t="str" cm="1">
        <f t="array" aca="1" ref="J750" ca="1">INDEX(PaymentMethods[Payment Method],RANDBETWEEN(1,5))</f>
        <v>Cash</v>
      </c>
    </row>
    <row r="751" spans="1:10" x14ac:dyDescent="0.3">
      <c r="A751" t="str">
        <f t="shared" si="35"/>
        <v>O0750</v>
      </c>
      <c r="B751" s="6">
        <f ca="1">Orders[[#This Row],[Discount%]]</f>
        <v>0.11</v>
      </c>
      <c r="C751" t="str" cm="1">
        <f t="array" aca="1" ref="C751" ca="1">INDEX(Customers[Customer ID],RANDBETWEEN(1,200))</f>
        <v>C103</v>
      </c>
      <c r="D751" t="str" cm="1">
        <f t="array" aca="1" ref="D751" ca="1">INDEX(Products[Product ID],RANDBETWEEN(1,50))</f>
        <v>P040</v>
      </c>
      <c r="E751" t="str" cm="1">
        <f t="array" aca="1" ref="E751" ca="1">INDEX(Warehouses[Warehouse ID],RANDBETWEEN(1,8))</f>
        <v>W002</v>
      </c>
      <c r="F751">
        <f t="shared" ca="1" si="33"/>
        <v>10</v>
      </c>
      <c r="G751">
        <f ca="1">_xlfn.XLOOKUP(Orders[[#This Row],[Product ID]],Products[Product ID],Products[Selling Price])</f>
        <v>180</v>
      </c>
      <c r="H751" s="6">
        <f t="shared" ca="1" si="34"/>
        <v>0.11</v>
      </c>
      <c r="I751">
        <f ca="1">Orders[[#This Row],[Quantity]]*Orders[[#This Row],[Unit Price]]*(1-Orders[[#This Row],[Discount%]])</f>
        <v>1602</v>
      </c>
      <c r="J751" t="str" cm="1">
        <f t="array" aca="1" ref="J751" ca="1">INDEX(PaymentMethods[Payment Method],RANDBETWEEN(1,5))</f>
        <v>Debit Card</v>
      </c>
    </row>
    <row r="752" spans="1:10" x14ac:dyDescent="0.3">
      <c r="A752" t="str">
        <f t="shared" si="35"/>
        <v>O0751</v>
      </c>
      <c r="B752" s="6">
        <f ca="1">Orders[[#This Row],[Discount%]]</f>
        <v>0.01</v>
      </c>
      <c r="C752" t="str" cm="1">
        <f t="array" aca="1" ref="C752" ca="1">INDEX(Customers[Customer ID],RANDBETWEEN(1,200))</f>
        <v>C147</v>
      </c>
      <c r="D752" t="str" cm="1">
        <f t="array" aca="1" ref="D752" ca="1">INDEX(Products[Product ID],RANDBETWEEN(1,50))</f>
        <v>P043</v>
      </c>
      <c r="E752" t="str" cm="1">
        <f t="array" aca="1" ref="E752" ca="1">INDEX(Warehouses[Warehouse ID],RANDBETWEEN(1,8))</f>
        <v>W007</v>
      </c>
      <c r="F752">
        <f t="shared" ca="1" si="33"/>
        <v>9</v>
      </c>
      <c r="G752">
        <f ca="1">_xlfn.XLOOKUP(Orders[[#This Row],[Product ID]],Products[Product ID],Products[Selling Price])</f>
        <v>24500</v>
      </c>
      <c r="H752" s="6">
        <f t="shared" ca="1" si="34"/>
        <v>0.01</v>
      </c>
      <c r="I752">
        <f ca="1">Orders[[#This Row],[Quantity]]*Orders[[#This Row],[Unit Price]]*(1-Orders[[#This Row],[Discount%]])</f>
        <v>218295</v>
      </c>
      <c r="J752" t="str" cm="1">
        <f t="array" aca="1" ref="J752" ca="1">INDEX(PaymentMethods[Payment Method],RANDBETWEEN(1,5))</f>
        <v>Debit Card</v>
      </c>
    </row>
    <row r="753" spans="1:10" x14ac:dyDescent="0.3">
      <c r="A753" t="str">
        <f t="shared" si="35"/>
        <v>O0752</v>
      </c>
      <c r="B753" s="6">
        <f ca="1">Orders[[#This Row],[Discount%]]</f>
        <v>0.08</v>
      </c>
      <c r="C753" t="str" cm="1">
        <f t="array" aca="1" ref="C753" ca="1">INDEX(Customers[Customer ID],RANDBETWEEN(1,200))</f>
        <v>C194</v>
      </c>
      <c r="D753" t="str" cm="1">
        <f t="array" aca="1" ref="D753" ca="1">INDEX(Products[Product ID],RANDBETWEEN(1,50))</f>
        <v>P012</v>
      </c>
      <c r="E753" t="str" cm="1">
        <f t="array" aca="1" ref="E753" ca="1">INDEX(Warehouses[Warehouse ID],RANDBETWEEN(1,8))</f>
        <v>W004</v>
      </c>
      <c r="F753">
        <f t="shared" ca="1" si="33"/>
        <v>1</v>
      </c>
      <c r="G753">
        <f ca="1">_xlfn.XLOOKUP(Orders[[#This Row],[Product ID]],Products[Product ID],Products[Selling Price])</f>
        <v>80</v>
      </c>
      <c r="H753" s="6">
        <f t="shared" ca="1" si="34"/>
        <v>0.08</v>
      </c>
      <c r="I753">
        <f ca="1">Orders[[#This Row],[Quantity]]*Orders[[#This Row],[Unit Price]]*(1-Orders[[#This Row],[Discount%]])</f>
        <v>73.600000000000009</v>
      </c>
      <c r="J753" t="str" cm="1">
        <f t="array" aca="1" ref="J753" ca="1">INDEX(PaymentMethods[Payment Method],RANDBETWEEN(1,5))</f>
        <v>UPI</v>
      </c>
    </row>
    <row r="754" spans="1:10" x14ac:dyDescent="0.3">
      <c r="A754" t="str">
        <f t="shared" si="35"/>
        <v>O0753</v>
      </c>
      <c r="B754" s="6">
        <f ca="1">Orders[[#This Row],[Discount%]]</f>
        <v>0.01</v>
      </c>
      <c r="C754" t="str" cm="1">
        <f t="array" aca="1" ref="C754" ca="1">INDEX(Customers[Customer ID],RANDBETWEEN(1,200))</f>
        <v>C026</v>
      </c>
      <c r="D754" t="str" cm="1">
        <f t="array" aca="1" ref="D754" ca="1">INDEX(Products[Product ID],RANDBETWEEN(1,50))</f>
        <v>P037</v>
      </c>
      <c r="E754" t="str" cm="1">
        <f t="array" aca="1" ref="E754" ca="1">INDEX(Warehouses[Warehouse ID],RANDBETWEEN(1,8))</f>
        <v>W005</v>
      </c>
      <c r="F754">
        <f t="shared" ca="1" si="33"/>
        <v>8</v>
      </c>
      <c r="G754">
        <f ca="1">_xlfn.XLOOKUP(Orders[[#This Row],[Product ID]],Products[Product ID],Products[Selling Price])</f>
        <v>550</v>
      </c>
      <c r="H754" s="6">
        <f t="shared" ca="1" si="34"/>
        <v>0.01</v>
      </c>
      <c r="I754">
        <f ca="1">Orders[[#This Row],[Quantity]]*Orders[[#This Row],[Unit Price]]*(1-Orders[[#This Row],[Discount%]])</f>
        <v>4356</v>
      </c>
      <c r="J754" t="str" cm="1">
        <f t="array" aca="1" ref="J754" ca="1">INDEX(PaymentMethods[Payment Method],RANDBETWEEN(1,5))</f>
        <v>Net Banking</v>
      </c>
    </row>
    <row r="755" spans="1:10" x14ac:dyDescent="0.3">
      <c r="A755" t="str">
        <f t="shared" si="35"/>
        <v>O0754</v>
      </c>
      <c r="B755" s="6">
        <f ca="1">Orders[[#This Row],[Discount%]]</f>
        <v>0.16</v>
      </c>
      <c r="C755" t="str" cm="1">
        <f t="array" aca="1" ref="C755" ca="1">INDEX(Customers[Customer ID],RANDBETWEEN(1,200))</f>
        <v>C135</v>
      </c>
      <c r="D755" t="str" cm="1">
        <f t="array" aca="1" ref="D755" ca="1">INDEX(Products[Product ID],RANDBETWEEN(1,50))</f>
        <v>P012</v>
      </c>
      <c r="E755" t="str" cm="1">
        <f t="array" aca="1" ref="E755" ca="1">INDEX(Warehouses[Warehouse ID],RANDBETWEEN(1,8))</f>
        <v>W001</v>
      </c>
      <c r="F755">
        <f t="shared" ca="1" si="33"/>
        <v>9</v>
      </c>
      <c r="G755">
        <f ca="1">_xlfn.XLOOKUP(Orders[[#This Row],[Product ID]],Products[Product ID],Products[Selling Price])</f>
        <v>80</v>
      </c>
      <c r="H755" s="6">
        <f t="shared" ca="1" si="34"/>
        <v>0.16</v>
      </c>
      <c r="I755">
        <f ca="1">Orders[[#This Row],[Quantity]]*Orders[[#This Row],[Unit Price]]*(1-Orders[[#This Row],[Discount%]])</f>
        <v>604.79999999999995</v>
      </c>
      <c r="J755" t="str" cm="1">
        <f t="array" aca="1" ref="J755" ca="1">INDEX(PaymentMethods[Payment Method],RANDBETWEEN(1,5))</f>
        <v>Net Banking</v>
      </c>
    </row>
    <row r="756" spans="1:10" x14ac:dyDescent="0.3">
      <c r="A756" t="str">
        <f t="shared" si="35"/>
        <v>O0755</v>
      </c>
      <c r="B756" s="6">
        <f ca="1">Orders[[#This Row],[Discount%]]</f>
        <v>0.02</v>
      </c>
      <c r="C756" t="str" cm="1">
        <f t="array" aca="1" ref="C756" ca="1">INDEX(Customers[Customer ID],RANDBETWEEN(1,200))</f>
        <v>C066</v>
      </c>
      <c r="D756" t="str" cm="1">
        <f t="array" aca="1" ref="D756" ca="1">INDEX(Products[Product ID],RANDBETWEEN(1,50))</f>
        <v>P029</v>
      </c>
      <c r="E756" t="str" cm="1">
        <f t="array" aca="1" ref="E756" ca="1">INDEX(Warehouses[Warehouse ID],RANDBETWEEN(1,8))</f>
        <v>W003</v>
      </c>
      <c r="F756">
        <f t="shared" ca="1" si="33"/>
        <v>1</v>
      </c>
      <c r="G756">
        <f ca="1">_xlfn.XLOOKUP(Orders[[#This Row],[Product ID]],Products[Product ID],Products[Selling Price])</f>
        <v>3200</v>
      </c>
      <c r="H756" s="6">
        <f t="shared" ca="1" si="34"/>
        <v>0.02</v>
      </c>
      <c r="I756">
        <f ca="1">Orders[[#This Row],[Quantity]]*Orders[[#This Row],[Unit Price]]*(1-Orders[[#This Row],[Discount%]])</f>
        <v>3136</v>
      </c>
      <c r="J756" t="str" cm="1">
        <f t="array" aca="1" ref="J756" ca="1">INDEX(PaymentMethods[Payment Method],RANDBETWEEN(1,5))</f>
        <v>UPI</v>
      </c>
    </row>
    <row r="757" spans="1:10" x14ac:dyDescent="0.3">
      <c r="A757" t="str">
        <f t="shared" si="35"/>
        <v>O0756</v>
      </c>
      <c r="B757" s="6">
        <f ca="1">Orders[[#This Row],[Discount%]]</f>
        <v>0.17</v>
      </c>
      <c r="C757" t="str" cm="1">
        <f t="array" aca="1" ref="C757" ca="1">INDEX(Customers[Customer ID],RANDBETWEEN(1,200))</f>
        <v>C054</v>
      </c>
      <c r="D757" t="str" cm="1">
        <f t="array" aca="1" ref="D757" ca="1">INDEX(Products[Product ID],RANDBETWEEN(1,50))</f>
        <v>P018</v>
      </c>
      <c r="E757" t="str" cm="1">
        <f t="array" aca="1" ref="E757" ca="1">INDEX(Warehouses[Warehouse ID],RANDBETWEEN(1,8))</f>
        <v>W006</v>
      </c>
      <c r="F757">
        <f t="shared" ca="1" si="33"/>
        <v>7</v>
      </c>
      <c r="G757">
        <f ca="1">_xlfn.XLOOKUP(Orders[[#This Row],[Product ID]],Products[Product ID],Products[Selling Price])</f>
        <v>1500</v>
      </c>
      <c r="H757" s="6">
        <f t="shared" ca="1" si="34"/>
        <v>0.17</v>
      </c>
      <c r="I757">
        <f ca="1">Orders[[#This Row],[Quantity]]*Orders[[#This Row],[Unit Price]]*(1-Orders[[#This Row],[Discount%]])</f>
        <v>8715</v>
      </c>
      <c r="J757" t="str" cm="1">
        <f t="array" aca="1" ref="J757" ca="1">INDEX(PaymentMethods[Payment Method],RANDBETWEEN(1,5))</f>
        <v>Cash</v>
      </c>
    </row>
    <row r="758" spans="1:10" x14ac:dyDescent="0.3">
      <c r="A758" t="str">
        <f t="shared" si="35"/>
        <v>O0757</v>
      </c>
      <c r="B758" s="6">
        <f ca="1">Orders[[#This Row],[Discount%]]</f>
        <v>0.2</v>
      </c>
      <c r="C758" t="str" cm="1">
        <f t="array" aca="1" ref="C758" ca="1">INDEX(Customers[Customer ID],RANDBETWEEN(1,200))</f>
        <v>C110</v>
      </c>
      <c r="D758" t="str" cm="1">
        <f t="array" aca="1" ref="D758" ca="1">INDEX(Products[Product ID],RANDBETWEEN(1,50))</f>
        <v>P048</v>
      </c>
      <c r="E758" t="str" cm="1">
        <f t="array" aca="1" ref="E758" ca="1">INDEX(Warehouses[Warehouse ID],RANDBETWEEN(1,8))</f>
        <v>W004</v>
      </c>
      <c r="F758">
        <f t="shared" ca="1" si="33"/>
        <v>5</v>
      </c>
      <c r="G758">
        <f ca="1">_xlfn.XLOOKUP(Orders[[#This Row],[Product ID]],Products[Product ID],Products[Selling Price])</f>
        <v>1200</v>
      </c>
      <c r="H758" s="6">
        <f t="shared" ca="1" si="34"/>
        <v>0.2</v>
      </c>
      <c r="I758">
        <f ca="1">Orders[[#This Row],[Quantity]]*Orders[[#This Row],[Unit Price]]*(1-Orders[[#This Row],[Discount%]])</f>
        <v>4800</v>
      </c>
      <c r="J758" t="str" cm="1">
        <f t="array" aca="1" ref="J758" ca="1">INDEX(PaymentMethods[Payment Method],RANDBETWEEN(1,5))</f>
        <v>UPI</v>
      </c>
    </row>
    <row r="759" spans="1:10" x14ac:dyDescent="0.3">
      <c r="A759" t="str">
        <f t="shared" si="35"/>
        <v>O0758</v>
      </c>
      <c r="B759" s="6">
        <f ca="1">Orders[[#This Row],[Discount%]]</f>
        <v>0.2</v>
      </c>
      <c r="C759" t="str" cm="1">
        <f t="array" aca="1" ref="C759" ca="1">INDEX(Customers[Customer ID],RANDBETWEEN(1,200))</f>
        <v>C015</v>
      </c>
      <c r="D759" t="str" cm="1">
        <f t="array" aca="1" ref="D759" ca="1">INDEX(Products[Product ID],RANDBETWEEN(1,50))</f>
        <v>P028</v>
      </c>
      <c r="E759" t="str" cm="1">
        <f t="array" aca="1" ref="E759" ca="1">INDEX(Warehouses[Warehouse ID],RANDBETWEEN(1,8))</f>
        <v>W006</v>
      </c>
      <c r="F759">
        <f t="shared" ca="1" si="33"/>
        <v>10</v>
      </c>
      <c r="G759">
        <f ca="1">_xlfn.XLOOKUP(Orders[[#This Row],[Product ID]],Products[Product ID],Products[Selling Price])</f>
        <v>16500</v>
      </c>
      <c r="H759" s="6">
        <f t="shared" ca="1" si="34"/>
        <v>0.2</v>
      </c>
      <c r="I759">
        <f ca="1">Orders[[#This Row],[Quantity]]*Orders[[#This Row],[Unit Price]]*(1-Orders[[#This Row],[Discount%]])</f>
        <v>132000</v>
      </c>
      <c r="J759" t="str" cm="1">
        <f t="array" aca="1" ref="J759" ca="1">INDEX(PaymentMethods[Payment Method],RANDBETWEEN(1,5))</f>
        <v>UPI</v>
      </c>
    </row>
    <row r="760" spans="1:10" x14ac:dyDescent="0.3">
      <c r="A760" t="str">
        <f t="shared" si="35"/>
        <v>O0759</v>
      </c>
      <c r="B760" s="6">
        <f ca="1">Orders[[#This Row],[Discount%]]</f>
        <v>0.12</v>
      </c>
      <c r="C760" t="str" cm="1">
        <f t="array" aca="1" ref="C760" ca="1">INDEX(Customers[Customer ID],RANDBETWEEN(1,200))</f>
        <v>C157</v>
      </c>
      <c r="D760" t="str" cm="1">
        <f t="array" aca="1" ref="D760" ca="1">INDEX(Products[Product ID],RANDBETWEEN(1,50))</f>
        <v>P002</v>
      </c>
      <c r="E760" t="str" cm="1">
        <f t="array" aca="1" ref="E760" ca="1">INDEX(Warehouses[Warehouse ID],RANDBETWEEN(1,8))</f>
        <v>W007</v>
      </c>
      <c r="F760">
        <f t="shared" ca="1" si="33"/>
        <v>10</v>
      </c>
      <c r="G760">
        <f ca="1">_xlfn.XLOOKUP(Orders[[#This Row],[Product ID]],Products[Product ID],Products[Selling Price])</f>
        <v>550</v>
      </c>
      <c r="H760" s="6">
        <f t="shared" ca="1" si="34"/>
        <v>0.12</v>
      </c>
      <c r="I760">
        <f ca="1">Orders[[#This Row],[Quantity]]*Orders[[#This Row],[Unit Price]]*(1-Orders[[#This Row],[Discount%]])</f>
        <v>4840</v>
      </c>
      <c r="J760" t="str" cm="1">
        <f t="array" aca="1" ref="J760" ca="1">INDEX(PaymentMethods[Payment Method],RANDBETWEEN(1,5))</f>
        <v>Cash</v>
      </c>
    </row>
    <row r="761" spans="1:10" x14ac:dyDescent="0.3">
      <c r="A761" t="str">
        <f t="shared" si="35"/>
        <v>O0760</v>
      </c>
      <c r="B761" s="6">
        <f ca="1">Orders[[#This Row],[Discount%]]</f>
        <v>0.03</v>
      </c>
      <c r="C761" t="str" cm="1">
        <f t="array" aca="1" ref="C761" ca="1">INDEX(Customers[Customer ID],RANDBETWEEN(1,200))</f>
        <v>C189</v>
      </c>
      <c r="D761" t="str" cm="1">
        <f t="array" aca="1" ref="D761" ca="1">INDEX(Products[Product ID],RANDBETWEEN(1,50))</f>
        <v>P020</v>
      </c>
      <c r="E761" t="str" cm="1">
        <f t="array" aca="1" ref="E761" ca="1">INDEX(Warehouses[Warehouse ID],RANDBETWEEN(1,8))</f>
        <v>W002</v>
      </c>
      <c r="F761">
        <f t="shared" ca="1" si="33"/>
        <v>1</v>
      </c>
      <c r="G761">
        <f ca="1">_xlfn.XLOOKUP(Orders[[#This Row],[Product ID]],Products[Product ID],Products[Selling Price])</f>
        <v>450</v>
      </c>
      <c r="H761" s="6">
        <f t="shared" ca="1" si="34"/>
        <v>0.03</v>
      </c>
      <c r="I761">
        <f ca="1">Orders[[#This Row],[Quantity]]*Orders[[#This Row],[Unit Price]]*(1-Orders[[#This Row],[Discount%]])</f>
        <v>436.5</v>
      </c>
      <c r="J761" t="str" cm="1">
        <f t="array" aca="1" ref="J761" ca="1">INDEX(PaymentMethods[Payment Method],RANDBETWEEN(1,5))</f>
        <v>Net Banking</v>
      </c>
    </row>
    <row r="762" spans="1:10" x14ac:dyDescent="0.3">
      <c r="A762" t="str">
        <f t="shared" si="35"/>
        <v>O0761</v>
      </c>
      <c r="B762" s="6">
        <f ca="1">Orders[[#This Row],[Discount%]]</f>
        <v>0.11</v>
      </c>
      <c r="C762" t="str" cm="1">
        <f t="array" aca="1" ref="C762" ca="1">INDEX(Customers[Customer ID],RANDBETWEEN(1,200))</f>
        <v>C128</v>
      </c>
      <c r="D762" t="str" cm="1">
        <f t="array" aca="1" ref="D762" ca="1">INDEX(Products[Product ID],RANDBETWEEN(1,50))</f>
        <v>P026</v>
      </c>
      <c r="E762" t="str" cm="1">
        <f t="array" aca="1" ref="E762" ca="1">INDEX(Warehouses[Warehouse ID],RANDBETWEEN(1,8))</f>
        <v>W002</v>
      </c>
      <c r="F762">
        <f t="shared" ca="1" si="33"/>
        <v>9</v>
      </c>
      <c r="G762">
        <f ca="1">_xlfn.XLOOKUP(Orders[[#This Row],[Product ID]],Products[Product ID],Products[Selling Price])</f>
        <v>650</v>
      </c>
      <c r="H762" s="6">
        <f t="shared" ca="1" si="34"/>
        <v>0.11</v>
      </c>
      <c r="I762">
        <f ca="1">Orders[[#This Row],[Quantity]]*Orders[[#This Row],[Unit Price]]*(1-Orders[[#This Row],[Discount%]])</f>
        <v>5206.5</v>
      </c>
      <c r="J762" t="str" cm="1">
        <f t="array" aca="1" ref="J762" ca="1">INDEX(PaymentMethods[Payment Method],RANDBETWEEN(1,5))</f>
        <v>Net Banking</v>
      </c>
    </row>
    <row r="763" spans="1:10" x14ac:dyDescent="0.3">
      <c r="A763" t="str">
        <f t="shared" si="35"/>
        <v>O0762</v>
      </c>
      <c r="B763" s="6">
        <f ca="1">Orders[[#This Row],[Discount%]]</f>
        <v>0.01</v>
      </c>
      <c r="C763" t="str" cm="1">
        <f t="array" aca="1" ref="C763" ca="1">INDEX(Customers[Customer ID],RANDBETWEEN(1,200))</f>
        <v>C095</v>
      </c>
      <c r="D763" t="str" cm="1">
        <f t="array" aca="1" ref="D763" ca="1">INDEX(Products[Product ID],RANDBETWEEN(1,50))</f>
        <v>P017</v>
      </c>
      <c r="E763" t="str" cm="1">
        <f t="array" aca="1" ref="E763" ca="1">INDEX(Warehouses[Warehouse ID],RANDBETWEEN(1,8))</f>
        <v>W005</v>
      </c>
      <c r="F763">
        <f t="shared" ca="1" si="33"/>
        <v>3</v>
      </c>
      <c r="G763">
        <f ca="1">_xlfn.XLOOKUP(Orders[[#This Row],[Product ID]],Products[Product ID],Products[Selling Price])</f>
        <v>650</v>
      </c>
      <c r="H763" s="6">
        <f t="shared" ca="1" si="34"/>
        <v>0.01</v>
      </c>
      <c r="I763">
        <f ca="1">Orders[[#This Row],[Quantity]]*Orders[[#This Row],[Unit Price]]*(1-Orders[[#This Row],[Discount%]])</f>
        <v>1930.5</v>
      </c>
      <c r="J763" t="str" cm="1">
        <f t="array" aca="1" ref="J763" ca="1">INDEX(PaymentMethods[Payment Method],RANDBETWEEN(1,5))</f>
        <v>Debit Card</v>
      </c>
    </row>
    <row r="764" spans="1:10" x14ac:dyDescent="0.3">
      <c r="A764" t="str">
        <f t="shared" si="35"/>
        <v>O0763</v>
      </c>
      <c r="B764" s="6">
        <f ca="1">Orders[[#This Row],[Discount%]]</f>
        <v>0.01</v>
      </c>
      <c r="C764" t="str" cm="1">
        <f t="array" aca="1" ref="C764" ca="1">INDEX(Customers[Customer ID],RANDBETWEEN(1,200))</f>
        <v>C170</v>
      </c>
      <c r="D764" t="str" cm="1">
        <f t="array" aca="1" ref="D764" ca="1">INDEX(Products[Product ID],RANDBETWEEN(1,50))</f>
        <v>P003</v>
      </c>
      <c r="E764" t="str" cm="1">
        <f t="array" aca="1" ref="E764" ca="1">INDEX(Warehouses[Warehouse ID],RANDBETWEEN(1,8))</f>
        <v>W001</v>
      </c>
      <c r="F764">
        <f t="shared" ca="1" si="33"/>
        <v>5</v>
      </c>
      <c r="G764">
        <f ca="1">_xlfn.XLOOKUP(Orders[[#This Row],[Product ID]],Products[Product ID],Products[Selling Price])</f>
        <v>900</v>
      </c>
      <c r="H764" s="6">
        <f t="shared" ca="1" si="34"/>
        <v>0.01</v>
      </c>
      <c r="I764">
        <f ca="1">Orders[[#This Row],[Quantity]]*Orders[[#This Row],[Unit Price]]*(1-Orders[[#This Row],[Discount%]])</f>
        <v>4455</v>
      </c>
      <c r="J764" t="str" cm="1">
        <f t="array" aca="1" ref="J764" ca="1">INDEX(PaymentMethods[Payment Method],RANDBETWEEN(1,5))</f>
        <v>Debit Card</v>
      </c>
    </row>
    <row r="765" spans="1:10" x14ac:dyDescent="0.3">
      <c r="A765" t="str">
        <f t="shared" si="35"/>
        <v>O0764</v>
      </c>
      <c r="B765" s="6">
        <f ca="1">Orders[[#This Row],[Discount%]]</f>
        <v>0.2</v>
      </c>
      <c r="C765" t="str" cm="1">
        <f t="array" aca="1" ref="C765" ca="1">INDEX(Customers[Customer ID],RANDBETWEEN(1,200))</f>
        <v>C091</v>
      </c>
      <c r="D765" t="str" cm="1">
        <f t="array" aca="1" ref="D765" ca="1">INDEX(Products[Product ID],RANDBETWEEN(1,50))</f>
        <v>P015</v>
      </c>
      <c r="E765" t="str" cm="1">
        <f t="array" aca="1" ref="E765" ca="1">INDEX(Warehouses[Warehouse ID],RANDBETWEEN(1,8))</f>
        <v>W008</v>
      </c>
      <c r="F765">
        <f t="shared" ca="1" si="33"/>
        <v>5</v>
      </c>
      <c r="G765">
        <f ca="1">_xlfn.XLOOKUP(Orders[[#This Row],[Product ID]],Products[Product ID],Products[Selling Price])</f>
        <v>1800</v>
      </c>
      <c r="H765" s="6">
        <f t="shared" ca="1" si="34"/>
        <v>0.2</v>
      </c>
      <c r="I765">
        <f ca="1">Orders[[#This Row],[Quantity]]*Orders[[#This Row],[Unit Price]]*(1-Orders[[#This Row],[Discount%]])</f>
        <v>7200</v>
      </c>
      <c r="J765" t="str" cm="1">
        <f t="array" aca="1" ref="J765" ca="1">INDEX(PaymentMethods[Payment Method],RANDBETWEEN(1,5))</f>
        <v>Net Banking</v>
      </c>
    </row>
    <row r="766" spans="1:10" x14ac:dyDescent="0.3">
      <c r="A766" t="str">
        <f t="shared" si="35"/>
        <v>O0765</v>
      </c>
      <c r="B766" s="6">
        <f ca="1">Orders[[#This Row],[Discount%]]</f>
        <v>0.2</v>
      </c>
      <c r="C766" t="str" cm="1">
        <f t="array" aca="1" ref="C766" ca="1">INDEX(Customers[Customer ID],RANDBETWEEN(1,200))</f>
        <v>C089</v>
      </c>
      <c r="D766" t="str" cm="1">
        <f t="array" aca="1" ref="D766" ca="1">INDEX(Products[Product ID],RANDBETWEEN(1,50))</f>
        <v>P038</v>
      </c>
      <c r="E766" t="str" cm="1">
        <f t="array" aca="1" ref="E766" ca="1">INDEX(Warehouses[Warehouse ID],RANDBETWEEN(1,8))</f>
        <v>W008</v>
      </c>
      <c r="F766">
        <f t="shared" ca="1" si="33"/>
        <v>4</v>
      </c>
      <c r="G766">
        <f ca="1">_xlfn.XLOOKUP(Orders[[#This Row],[Product ID]],Products[Product ID],Products[Selling Price])</f>
        <v>1500</v>
      </c>
      <c r="H766" s="6">
        <f t="shared" ca="1" si="34"/>
        <v>0.2</v>
      </c>
      <c r="I766">
        <f ca="1">Orders[[#This Row],[Quantity]]*Orders[[#This Row],[Unit Price]]*(1-Orders[[#This Row],[Discount%]])</f>
        <v>4800</v>
      </c>
      <c r="J766" t="str" cm="1">
        <f t="array" aca="1" ref="J766" ca="1">INDEX(PaymentMethods[Payment Method],RANDBETWEEN(1,5))</f>
        <v>Credit Card</v>
      </c>
    </row>
    <row r="767" spans="1:10" x14ac:dyDescent="0.3">
      <c r="A767" t="str">
        <f t="shared" si="35"/>
        <v>O0766</v>
      </c>
      <c r="B767" s="6">
        <f ca="1">Orders[[#This Row],[Discount%]]</f>
        <v>0.19</v>
      </c>
      <c r="C767" t="str" cm="1">
        <f t="array" aca="1" ref="C767" ca="1">INDEX(Customers[Customer ID],RANDBETWEEN(1,200))</f>
        <v>C114</v>
      </c>
      <c r="D767" t="str" cm="1">
        <f t="array" aca="1" ref="D767" ca="1">INDEX(Products[Product ID],RANDBETWEEN(1,50))</f>
        <v>P035</v>
      </c>
      <c r="E767" t="str" cm="1">
        <f t="array" aca="1" ref="E767" ca="1">INDEX(Warehouses[Warehouse ID],RANDBETWEEN(1,8))</f>
        <v>W004</v>
      </c>
      <c r="F767">
        <f t="shared" ca="1" si="33"/>
        <v>10</v>
      </c>
      <c r="G767">
        <f ca="1">_xlfn.XLOOKUP(Orders[[#This Row],[Product ID]],Products[Product ID],Products[Selling Price])</f>
        <v>300</v>
      </c>
      <c r="H767" s="6">
        <f t="shared" ca="1" si="34"/>
        <v>0.19</v>
      </c>
      <c r="I767">
        <f ca="1">Orders[[#This Row],[Quantity]]*Orders[[#This Row],[Unit Price]]*(1-Orders[[#This Row],[Discount%]])</f>
        <v>2430</v>
      </c>
      <c r="J767" t="str" cm="1">
        <f t="array" aca="1" ref="J767" ca="1">INDEX(PaymentMethods[Payment Method],RANDBETWEEN(1,5))</f>
        <v>Net Banking</v>
      </c>
    </row>
    <row r="768" spans="1:10" x14ac:dyDescent="0.3">
      <c r="A768" t="str">
        <f t="shared" si="35"/>
        <v>O0767</v>
      </c>
      <c r="B768" s="6">
        <f ca="1">Orders[[#This Row],[Discount%]]</f>
        <v>0.02</v>
      </c>
      <c r="C768" t="str" cm="1">
        <f t="array" aca="1" ref="C768" ca="1">INDEX(Customers[Customer ID],RANDBETWEEN(1,200))</f>
        <v>C157</v>
      </c>
      <c r="D768" t="str" cm="1">
        <f t="array" aca="1" ref="D768" ca="1">INDEX(Products[Product ID],RANDBETWEEN(1,50))</f>
        <v>P024</v>
      </c>
      <c r="E768" t="str" cm="1">
        <f t="array" aca="1" ref="E768" ca="1">INDEX(Warehouses[Warehouse ID],RANDBETWEEN(1,8))</f>
        <v>W004</v>
      </c>
      <c r="F768">
        <f t="shared" ca="1" si="33"/>
        <v>4</v>
      </c>
      <c r="G768">
        <f ca="1">_xlfn.XLOOKUP(Orders[[#This Row],[Product ID]],Products[Product ID],Products[Selling Price])</f>
        <v>1700</v>
      </c>
      <c r="H768" s="6">
        <f t="shared" ca="1" si="34"/>
        <v>0.02</v>
      </c>
      <c r="I768">
        <f ca="1">Orders[[#This Row],[Quantity]]*Orders[[#This Row],[Unit Price]]*(1-Orders[[#This Row],[Discount%]])</f>
        <v>6664</v>
      </c>
      <c r="J768" t="str" cm="1">
        <f t="array" aca="1" ref="J768" ca="1">INDEX(PaymentMethods[Payment Method],RANDBETWEEN(1,5))</f>
        <v>Debit Card</v>
      </c>
    </row>
    <row r="769" spans="1:10" x14ac:dyDescent="0.3">
      <c r="A769" t="str">
        <f t="shared" si="35"/>
        <v>O0768</v>
      </c>
      <c r="B769" s="6">
        <f ca="1">Orders[[#This Row],[Discount%]]</f>
        <v>0.18</v>
      </c>
      <c r="C769" t="str" cm="1">
        <f t="array" aca="1" ref="C769" ca="1">INDEX(Customers[Customer ID],RANDBETWEEN(1,200))</f>
        <v>C016</v>
      </c>
      <c r="D769" t="str" cm="1">
        <f t="array" aca="1" ref="D769" ca="1">INDEX(Products[Product ID],RANDBETWEEN(1,50))</f>
        <v>P005</v>
      </c>
      <c r="E769" t="str" cm="1">
        <f t="array" aca="1" ref="E769" ca="1">INDEX(Warehouses[Warehouse ID],RANDBETWEEN(1,8))</f>
        <v>W005</v>
      </c>
      <c r="F769">
        <f t="shared" ca="1" si="33"/>
        <v>8</v>
      </c>
      <c r="G769">
        <f ca="1">_xlfn.XLOOKUP(Orders[[#This Row],[Product ID]],Products[Product ID],Products[Selling Price])</f>
        <v>10500</v>
      </c>
      <c r="H769" s="6">
        <f t="shared" ca="1" si="34"/>
        <v>0.18</v>
      </c>
      <c r="I769">
        <f ca="1">Orders[[#This Row],[Quantity]]*Orders[[#This Row],[Unit Price]]*(1-Orders[[#This Row],[Discount%]])</f>
        <v>68880</v>
      </c>
      <c r="J769" t="str" cm="1">
        <f t="array" aca="1" ref="J769" ca="1">INDEX(PaymentMethods[Payment Method],RANDBETWEEN(1,5))</f>
        <v>UPI</v>
      </c>
    </row>
    <row r="770" spans="1:10" x14ac:dyDescent="0.3">
      <c r="A770" t="str">
        <f t="shared" si="35"/>
        <v>O0769</v>
      </c>
      <c r="B770" s="6">
        <f ca="1">Orders[[#This Row],[Discount%]]</f>
        <v>0.01</v>
      </c>
      <c r="C770" t="str" cm="1">
        <f t="array" aca="1" ref="C770" ca="1">INDEX(Customers[Customer ID],RANDBETWEEN(1,200))</f>
        <v>C064</v>
      </c>
      <c r="D770" t="str" cm="1">
        <f t="array" aca="1" ref="D770" ca="1">INDEX(Products[Product ID],RANDBETWEEN(1,50))</f>
        <v>P021</v>
      </c>
      <c r="E770" t="str" cm="1">
        <f t="array" aca="1" ref="E770" ca="1">INDEX(Warehouses[Warehouse ID],RANDBETWEEN(1,8))</f>
        <v>W004</v>
      </c>
      <c r="F770">
        <f t="shared" ref="F770:F833" ca="1" si="36">RANDBETWEEN(1,10)</f>
        <v>2</v>
      </c>
      <c r="G770">
        <f ca="1">_xlfn.XLOOKUP(Orders[[#This Row],[Product ID]],Products[Product ID],Products[Selling Price])</f>
        <v>22000</v>
      </c>
      <c r="H770" s="6">
        <f t="shared" ref="H770:H833" ca="1" si="37">RANDBETWEEN(0,20)/100</f>
        <v>0.01</v>
      </c>
      <c r="I770">
        <f ca="1">Orders[[#This Row],[Quantity]]*Orders[[#This Row],[Unit Price]]*(1-Orders[[#This Row],[Discount%]])</f>
        <v>43560</v>
      </c>
      <c r="J770" t="str" cm="1">
        <f t="array" aca="1" ref="J770" ca="1">INDEX(PaymentMethods[Payment Method],RANDBETWEEN(1,5))</f>
        <v>Debit Card</v>
      </c>
    </row>
    <row r="771" spans="1:10" x14ac:dyDescent="0.3">
      <c r="A771" t="str">
        <f t="shared" ref="A771:A834" si="38">"O"&amp;TEXT(ROW()-1,"0000")</f>
        <v>O0770</v>
      </c>
      <c r="B771" s="6">
        <f ca="1">Orders[[#This Row],[Discount%]]</f>
        <v>0.18</v>
      </c>
      <c r="C771" t="str" cm="1">
        <f t="array" aca="1" ref="C771" ca="1">INDEX(Customers[Customer ID],RANDBETWEEN(1,200))</f>
        <v>C191</v>
      </c>
      <c r="D771" t="str" cm="1">
        <f t="array" aca="1" ref="D771" ca="1">INDEX(Products[Product ID],RANDBETWEEN(1,50))</f>
        <v>P047</v>
      </c>
      <c r="E771" t="str" cm="1">
        <f t="array" aca="1" ref="E771" ca="1">INDEX(Warehouses[Warehouse ID],RANDBETWEEN(1,8))</f>
        <v>W007</v>
      </c>
      <c r="F771">
        <f t="shared" ca="1" si="36"/>
        <v>4</v>
      </c>
      <c r="G771">
        <f ca="1">_xlfn.XLOOKUP(Orders[[#This Row],[Product ID]],Products[Product ID],Products[Selling Price])</f>
        <v>6200</v>
      </c>
      <c r="H771" s="6">
        <f t="shared" ca="1" si="37"/>
        <v>0.18</v>
      </c>
      <c r="I771">
        <f ca="1">Orders[[#This Row],[Quantity]]*Orders[[#This Row],[Unit Price]]*(1-Orders[[#This Row],[Discount%]])</f>
        <v>20336</v>
      </c>
      <c r="J771" t="str" cm="1">
        <f t="array" aca="1" ref="J771" ca="1">INDEX(PaymentMethods[Payment Method],RANDBETWEEN(1,5))</f>
        <v>Credit Card</v>
      </c>
    </row>
    <row r="772" spans="1:10" x14ac:dyDescent="0.3">
      <c r="A772" t="str">
        <f t="shared" si="38"/>
        <v>O0771</v>
      </c>
      <c r="B772" s="6">
        <f ca="1">Orders[[#This Row],[Discount%]]</f>
        <v>0.18</v>
      </c>
      <c r="C772" t="str" cm="1">
        <f t="array" aca="1" ref="C772" ca="1">INDEX(Customers[Customer ID],RANDBETWEEN(1,200))</f>
        <v>C173</v>
      </c>
      <c r="D772" t="str" cm="1">
        <f t="array" aca="1" ref="D772" ca="1">INDEX(Products[Product ID],RANDBETWEEN(1,50))</f>
        <v>P024</v>
      </c>
      <c r="E772" t="str" cm="1">
        <f t="array" aca="1" ref="E772" ca="1">INDEX(Warehouses[Warehouse ID],RANDBETWEEN(1,8))</f>
        <v>W006</v>
      </c>
      <c r="F772">
        <f t="shared" ca="1" si="36"/>
        <v>4</v>
      </c>
      <c r="G772">
        <f ca="1">_xlfn.XLOOKUP(Orders[[#This Row],[Product ID]],Products[Product ID],Products[Selling Price])</f>
        <v>1700</v>
      </c>
      <c r="H772" s="6">
        <f t="shared" ca="1" si="37"/>
        <v>0.18</v>
      </c>
      <c r="I772">
        <f ca="1">Orders[[#This Row],[Quantity]]*Orders[[#This Row],[Unit Price]]*(1-Orders[[#This Row],[Discount%]])</f>
        <v>5576</v>
      </c>
      <c r="J772" t="str" cm="1">
        <f t="array" aca="1" ref="J772" ca="1">INDEX(PaymentMethods[Payment Method],RANDBETWEEN(1,5))</f>
        <v>Debit Card</v>
      </c>
    </row>
    <row r="773" spans="1:10" x14ac:dyDescent="0.3">
      <c r="A773" t="str">
        <f t="shared" si="38"/>
        <v>O0772</v>
      </c>
      <c r="B773" s="6">
        <f ca="1">Orders[[#This Row],[Discount%]]</f>
        <v>0.04</v>
      </c>
      <c r="C773" t="str" cm="1">
        <f t="array" aca="1" ref="C773" ca="1">INDEX(Customers[Customer ID],RANDBETWEEN(1,200))</f>
        <v>C118</v>
      </c>
      <c r="D773" t="str" cm="1">
        <f t="array" aca="1" ref="D773" ca="1">INDEX(Products[Product ID],RANDBETWEEN(1,50))</f>
        <v>P008</v>
      </c>
      <c r="E773" t="str" cm="1">
        <f t="array" aca="1" ref="E773" ca="1">INDEX(Warehouses[Warehouse ID],RANDBETWEEN(1,8))</f>
        <v>W001</v>
      </c>
      <c r="F773">
        <f t="shared" ca="1" si="36"/>
        <v>5</v>
      </c>
      <c r="G773">
        <f ca="1">_xlfn.XLOOKUP(Orders[[#This Row],[Product ID]],Products[Product ID],Products[Selling Price])</f>
        <v>4200</v>
      </c>
      <c r="H773" s="6">
        <f t="shared" ca="1" si="37"/>
        <v>0.04</v>
      </c>
      <c r="I773">
        <f ca="1">Orders[[#This Row],[Quantity]]*Orders[[#This Row],[Unit Price]]*(1-Orders[[#This Row],[Discount%]])</f>
        <v>20160</v>
      </c>
      <c r="J773" t="str" cm="1">
        <f t="array" aca="1" ref="J773" ca="1">INDEX(PaymentMethods[Payment Method],RANDBETWEEN(1,5))</f>
        <v>Credit Card</v>
      </c>
    </row>
    <row r="774" spans="1:10" x14ac:dyDescent="0.3">
      <c r="A774" t="str">
        <f t="shared" si="38"/>
        <v>O0773</v>
      </c>
      <c r="B774" s="6">
        <f ca="1">Orders[[#This Row],[Discount%]]</f>
        <v>0.2</v>
      </c>
      <c r="C774" t="str" cm="1">
        <f t="array" aca="1" ref="C774" ca="1">INDEX(Customers[Customer ID],RANDBETWEEN(1,200))</f>
        <v>C196</v>
      </c>
      <c r="D774" t="str" cm="1">
        <f t="array" aca="1" ref="D774" ca="1">INDEX(Products[Product ID],RANDBETWEEN(1,50))</f>
        <v>P032</v>
      </c>
      <c r="E774" t="str" cm="1">
        <f t="array" aca="1" ref="E774" ca="1">INDEX(Warehouses[Warehouse ID],RANDBETWEEN(1,8))</f>
        <v>W004</v>
      </c>
      <c r="F774">
        <f t="shared" ca="1" si="36"/>
        <v>8</v>
      </c>
      <c r="G774">
        <f ca="1">_xlfn.XLOOKUP(Orders[[#This Row],[Product ID]],Products[Product ID],Products[Selling Price])</f>
        <v>220</v>
      </c>
      <c r="H774" s="6">
        <f t="shared" ca="1" si="37"/>
        <v>0.2</v>
      </c>
      <c r="I774">
        <f ca="1">Orders[[#This Row],[Quantity]]*Orders[[#This Row],[Unit Price]]*(1-Orders[[#This Row],[Discount%]])</f>
        <v>1408</v>
      </c>
      <c r="J774" t="str" cm="1">
        <f t="array" aca="1" ref="J774" ca="1">INDEX(PaymentMethods[Payment Method],RANDBETWEEN(1,5))</f>
        <v>Cash</v>
      </c>
    </row>
    <row r="775" spans="1:10" x14ac:dyDescent="0.3">
      <c r="A775" t="str">
        <f t="shared" si="38"/>
        <v>O0774</v>
      </c>
      <c r="B775" s="6">
        <f ca="1">Orders[[#This Row],[Discount%]]</f>
        <v>0.17</v>
      </c>
      <c r="C775" t="str" cm="1">
        <f t="array" aca="1" ref="C775" ca="1">INDEX(Customers[Customer ID],RANDBETWEEN(1,200))</f>
        <v>C081</v>
      </c>
      <c r="D775" t="str" cm="1">
        <f t="array" aca="1" ref="D775" ca="1">INDEX(Products[Product ID],RANDBETWEEN(1,50))</f>
        <v>P017</v>
      </c>
      <c r="E775" t="str" cm="1">
        <f t="array" aca="1" ref="E775" ca="1">INDEX(Warehouses[Warehouse ID],RANDBETWEEN(1,8))</f>
        <v>W006</v>
      </c>
      <c r="F775">
        <f t="shared" ca="1" si="36"/>
        <v>3</v>
      </c>
      <c r="G775">
        <f ca="1">_xlfn.XLOOKUP(Orders[[#This Row],[Product ID]],Products[Product ID],Products[Selling Price])</f>
        <v>650</v>
      </c>
      <c r="H775" s="6">
        <f t="shared" ca="1" si="37"/>
        <v>0.17</v>
      </c>
      <c r="I775">
        <f ca="1">Orders[[#This Row],[Quantity]]*Orders[[#This Row],[Unit Price]]*(1-Orders[[#This Row],[Discount%]])</f>
        <v>1618.5</v>
      </c>
      <c r="J775" t="str" cm="1">
        <f t="array" aca="1" ref="J775" ca="1">INDEX(PaymentMethods[Payment Method],RANDBETWEEN(1,5))</f>
        <v>Debit Card</v>
      </c>
    </row>
    <row r="776" spans="1:10" x14ac:dyDescent="0.3">
      <c r="A776" t="str">
        <f t="shared" si="38"/>
        <v>O0775</v>
      </c>
      <c r="B776" s="6">
        <f ca="1">Orders[[#This Row],[Discount%]]</f>
        <v>0.14000000000000001</v>
      </c>
      <c r="C776" t="str" cm="1">
        <f t="array" aca="1" ref="C776" ca="1">INDEX(Customers[Customer ID],RANDBETWEEN(1,200))</f>
        <v>C152</v>
      </c>
      <c r="D776" t="str" cm="1">
        <f t="array" aca="1" ref="D776" ca="1">INDEX(Products[Product ID],RANDBETWEEN(1,50))</f>
        <v>P046</v>
      </c>
      <c r="E776" t="str" cm="1">
        <f t="array" aca="1" ref="E776" ca="1">INDEX(Warehouses[Warehouse ID],RANDBETWEEN(1,8))</f>
        <v>W002</v>
      </c>
      <c r="F776">
        <f t="shared" ca="1" si="36"/>
        <v>6</v>
      </c>
      <c r="G776">
        <f ca="1">_xlfn.XLOOKUP(Orders[[#This Row],[Product ID]],Products[Product ID],Products[Selling Price])</f>
        <v>2500</v>
      </c>
      <c r="H776" s="6">
        <f t="shared" ca="1" si="37"/>
        <v>0.14000000000000001</v>
      </c>
      <c r="I776">
        <f ca="1">Orders[[#This Row],[Quantity]]*Orders[[#This Row],[Unit Price]]*(1-Orders[[#This Row],[Discount%]])</f>
        <v>12900</v>
      </c>
      <c r="J776" t="str" cm="1">
        <f t="array" aca="1" ref="J776" ca="1">INDEX(PaymentMethods[Payment Method],RANDBETWEEN(1,5))</f>
        <v>Net Banking</v>
      </c>
    </row>
    <row r="777" spans="1:10" x14ac:dyDescent="0.3">
      <c r="A777" t="str">
        <f t="shared" si="38"/>
        <v>O0776</v>
      </c>
      <c r="B777" s="6">
        <f ca="1">Orders[[#This Row],[Discount%]]</f>
        <v>0.18</v>
      </c>
      <c r="C777" t="str" cm="1">
        <f t="array" aca="1" ref="C777" ca="1">INDEX(Customers[Customer ID],RANDBETWEEN(1,200))</f>
        <v>C049</v>
      </c>
      <c r="D777" t="str" cm="1">
        <f t="array" aca="1" ref="D777" ca="1">INDEX(Products[Product ID],RANDBETWEEN(1,50))</f>
        <v>P024</v>
      </c>
      <c r="E777" t="str" cm="1">
        <f t="array" aca="1" ref="E777" ca="1">INDEX(Warehouses[Warehouse ID],RANDBETWEEN(1,8))</f>
        <v>W007</v>
      </c>
      <c r="F777">
        <f t="shared" ca="1" si="36"/>
        <v>7</v>
      </c>
      <c r="G777">
        <f ca="1">_xlfn.XLOOKUP(Orders[[#This Row],[Product ID]],Products[Product ID],Products[Selling Price])</f>
        <v>1700</v>
      </c>
      <c r="H777" s="6">
        <f t="shared" ca="1" si="37"/>
        <v>0.18</v>
      </c>
      <c r="I777">
        <f ca="1">Orders[[#This Row],[Quantity]]*Orders[[#This Row],[Unit Price]]*(1-Orders[[#This Row],[Discount%]])</f>
        <v>9758</v>
      </c>
      <c r="J777" t="str" cm="1">
        <f t="array" aca="1" ref="J777" ca="1">INDEX(PaymentMethods[Payment Method],RANDBETWEEN(1,5))</f>
        <v>UPI</v>
      </c>
    </row>
    <row r="778" spans="1:10" x14ac:dyDescent="0.3">
      <c r="A778" t="str">
        <f t="shared" si="38"/>
        <v>O0777</v>
      </c>
      <c r="B778" s="6">
        <f ca="1">Orders[[#This Row],[Discount%]]</f>
        <v>0.11</v>
      </c>
      <c r="C778" t="str" cm="1">
        <f t="array" aca="1" ref="C778" ca="1">INDEX(Customers[Customer ID],RANDBETWEEN(1,200))</f>
        <v>C152</v>
      </c>
      <c r="D778" t="str" cm="1">
        <f t="array" aca="1" ref="D778" ca="1">INDEX(Products[Product ID],RANDBETWEEN(1,50))</f>
        <v>P028</v>
      </c>
      <c r="E778" t="str" cm="1">
        <f t="array" aca="1" ref="E778" ca="1">INDEX(Warehouses[Warehouse ID],RANDBETWEEN(1,8))</f>
        <v>W001</v>
      </c>
      <c r="F778">
        <f t="shared" ca="1" si="36"/>
        <v>3</v>
      </c>
      <c r="G778">
        <f ca="1">_xlfn.XLOOKUP(Orders[[#This Row],[Product ID]],Products[Product ID],Products[Selling Price])</f>
        <v>16500</v>
      </c>
      <c r="H778" s="6">
        <f t="shared" ca="1" si="37"/>
        <v>0.11</v>
      </c>
      <c r="I778">
        <f ca="1">Orders[[#This Row],[Quantity]]*Orders[[#This Row],[Unit Price]]*(1-Orders[[#This Row],[Discount%]])</f>
        <v>44055</v>
      </c>
      <c r="J778" t="str" cm="1">
        <f t="array" aca="1" ref="J778" ca="1">INDEX(PaymentMethods[Payment Method],RANDBETWEEN(1,5))</f>
        <v>Credit Card</v>
      </c>
    </row>
    <row r="779" spans="1:10" x14ac:dyDescent="0.3">
      <c r="A779" t="str">
        <f t="shared" si="38"/>
        <v>O0778</v>
      </c>
      <c r="B779" s="6">
        <f ca="1">Orders[[#This Row],[Discount%]]</f>
        <v>0</v>
      </c>
      <c r="C779" t="str" cm="1">
        <f t="array" aca="1" ref="C779" ca="1">INDEX(Customers[Customer ID],RANDBETWEEN(1,200))</f>
        <v>C150</v>
      </c>
      <c r="D779" t="str" cm="1">
        <f t="array" aca="1" ref="D779" ca="1">INDEX(Products[Product ID],RANDBETWEEN(1,50))</f>
        <v>P025</v>
      </c>
      <c r="E779" t="str" cm="1">
        <f t="array" aca="1" ref="E779" ca="1">INDEX(Warehouses[Warehouse ID],RANDBETWEEN(1,8))</f>
        <v>W007</v>
      </c>
      <c r="F779">
        <f t="shared" ca="1" si="36"/>
        <v>10</v>
      </c>
      <c r="G779">
        <f ca="1">_xlfn.XLOOKUP(Orders[[#This Row],[Product ID]],Products[Product ID],Products[Selling Price])</f>
        <v>1800</v>
      </c>
      <c r="H779" s="6">
        <f t="shared" ca="1" si="37"/>
        <v>0</v>
      </c>
      <c r="I779">
        <f ca="1">Orders[[#This Row],[Quantity]]*Orders[[#This Row],[Unit Price]]*(1-Orders[[#This Row],[Discount%]])</f>
        <v>18000</v>
      </c>
      <c r="J779" t="str" cm="1">
        <f t="array" aca="1" ref="J779" ca="1">INDEX(PaymentMethods[Payment Method],RANDBETWEEN(1,5))</f>
        <v>Debit Card</v>
      </c>
    </row>
    <row r="780" spans="1:10" x14ac:dyDescent="0.3">
      <c r="A780" t="str">
        <f t="shared" si="38"/>
        <v>O0779</v>
      </c>
      <c r="B780" s="6">
        <f ca="1">Orders[[#This Row],[Discount%]]</f>
        <v>0.1</v>
      </c>
      <c r="C780" t="str" cm="1">
        <f t="array" aca="1" ref="C780" ca="1">INDEX(Customers[Customer ID],RANDBETWEEN(1,200))</f>
        <v>C144</v>
      </c>
      <c r="D780" t="str" cm="1">
        <f t="array" aca="1" ref="D780" ca="1">INDEX(Products[Product ID],RANDBETWEEN(1,50))</f>
        <v>P008</v>
      </c>
      <c r="E780" t="str" cm="1">
        <f t="array" aca="1" ref="E780" ca="1">INDEX(Warehouses[Warehouse ID],RANDBETWEEN(1,8))</f>
        <v>W001</v>
      </c>
      <c r="F780">
        <f t="shared" ca="1" si="36"/>
        <v>5</v>
      </c>
      <c r="G780">
        <f ca="1">_xlfn.XLOOKUP(Orders[[#This Row],[Product ID]],Products[Product ID],Products[Selling Price])</f>
        <v>4200</v>
      </c>
      <c r="H780" s="6">
        <f t="shared" ca="1" si="37"/>
        <v>0.1</v>
      </c>
      <c r="I780">
        <f ca="1">Orders[[#This Row],[Quantity]]*Orders[[#This Row],[Unit Price]]*(1-Orders[[#This Row],[Discount%]])</f>
        <v>18900</v>
      </c>
      <c r="J780" t="str" cm="1">
        <f t="array" aca="1" ref="J780" ca="1">INDEX(PaymentMethods[Payment Method],RANDBETWEEN(1,5))</f>
        <v>Credit Card</v>
      </c>
    </row>
    <row r="781" spans="1:10" x14ac:dyDescent="0.3">
      <c r="A781" t="str">
        <f t="shared" si="38"/>
        <v>O0780</v>
      </c>
      <c r="B781" s="6">
        <f ca="1">Orders[[#This Row],[Discount%]]</f>
        <v>0.04</v>
      </c>
      <c r="C781" t="str" cm="1">
        <f t="array" aca="1" ref="C781" ca="1">INDEX(Customers[Customer ID],RANDBETWEEN(1,200))</f>
        <v>C119</v>
      </c>
      <c r="D781" t="str" cm="1">
        <f t="array" aca="1" ref="D781" ca="1">INDEX(Products[Product ID],RANDBETWEEN(1,50))</f>
        <v>P027</v>
      </c>
      <c r="E781" t="str" cm="1">
        <f t="array" aca="1" ref="E781" ca="1">INDEX(Warehouses[Warehouse ID],RANDBETWEEN(1,8))</f>
        <v>W008</v>
      </c>
      <c r="F781">
        <f t="shared" ca="1" si="36"/>
        <v>8</v>
      </c>
      <c r="G781">
        <f ca="1">_xlfn.XLOOKUP(Orders[[#This Row],[Product ID]],Products[Product ID],Products[Selling Price])</f>
        <v>4000</v>
      </c>
      <c r="H781" s="6">
        <f t="shared" ca="1" si="37"/>
        <v>0.04</v>
      </c>
      <c r="I781">
        <f ca="1">Orders[[#This Row],[Quantity]]*Orders[[#This Row],[Unit Price]]*(1-Orders[[#This Row],[Discount%]])</f>
        <v>30720</v>
      </c>
      <c r="J781" t="str" cm="1">
        <f t="array" aca="1" ref="J781" ca="1">INDEX(PaymentMethods[Payment Method],RANDBETWEEN(1,5))</f>
        <v>Net Banking</v>
      </c>
    </row>
    <row r="782" spans="1:10" x14ac:dyDescent="0.3">
      <c r="A782" t="str">
        <f t="shared" si="38"/>
        <v>O0781</v>
      </c>
      <c r="B782" s="6">
        <f ca="1">Orders[[#This Row],[Discount%]]</f>
        <v>0.06</v>
      </c>
      <c r="C782" t="str" cm="1">
        <f t="array" aca="1" ref="C782" ca="1">INDEX(Customers[Customer ID],RANDBETWEEN(1,200))</f>
        <v>C013</v>
      </c>
      <c r="D782" t="str" cm="1">
        <f t="array" aca="1" ref="D782" ca="1">INDEX(Products[Product ID],RANDBETWEEN(1,50))</f>
        <v>P038</v>
      </c>
      <c r="E782" t="str" cm="1">
        <f t="array" aca="1" ref="E782" ca="1">INDEX(Warehouses[Warehouse ID],RANDBETWEEN(1,8))</f>
        <v>W001</v>
      </c>
      <c r="F782">
        <f t="shared" ca="1" si="36"/>
        <v>6</v>
      </c>
      <c r="G782">
        <f ca="1">_xlfn.XLOOKUP(Orders[[#This Row],[Product ID]],Products[Product ID],Products[Selling Price])</f>
        <v>1500</v>
      </c>
      <c r="H782" s="6">
        <f t="shared" ca="1" si="37"/>
        <v>0.06</v>
      </c>
      <c r="I782">
        <f ca="1">Orders[[#This Row],[Quantity]]*Orders[[#This Row],[Unit Price]]*(1-Orders[[#This Row],[Discount%]])</f>
        <v>8460</v>
      </c>
      <c r="J782" t="str" cm="1">
        <f t="array" aca="1" ref="J782" ca="1">INDEX(PaymentMethods[Payment Method],RANDBETWEEN(1,5))</f>
        <v>UPI</v>
      </c>
    </row>
    <row r="783" spans="1:10" x14ac:dyDescent="0.3">
      <c r="A783" t="str">
        <f t="shared" si="38"/>
        <v>O0782</v>
      </c>
      <c r="B783" s="6">
        <f ca="1">Orders[[#This Row],[Discount%]]</f>
        <v>0.04</v>
      </c>
      <c r="C783" t="str" cm="1">
        <f t="array" aca="1" ref="C783" ca="1">INDEX(Customers[Customer ID],RANDBETWEEN(1,200))</f>
        <v>C005</v>
      </c>
      <c r="D783" t="str" cm="1">
        <f t="array" aca="1" ref="D783" ca="1">INDEX(Products[Product ID],RANDBETWEEN(1,50))</f>
        <v>P014</v>
      </c>
      <c r="E783" t="str" cm="1">
        <f t="array" aca="1" ref="E783" ca="1">INDEX(Warehouses[Warehouse ID],RANDBETWEEN(1,8))</f>
        <v>W003</v>
      </c>
      <c r="F783">
        <f t="shared" ca="1" si="36"/>
        <v>8</v>
      </c>
      <c r="G783">
        <f ca="1">_xlfn.XLOOKUP(Orders[[#This Row],[Product ID]],Products[Product ID],Products[Selling Price])</f>
        <v>800</v>
      </c>
      <c r="H783" s="6">
        <f t="shared" ca="1" si="37"/>
        <v>0.04</v>
      </c>
      <c r="I783">
        <f ca="1">Orders[[#This Row],[Quantity]]*Orders[[#This Row],[Unit Price]]*(1-Orders[[#This Row],[Discount%]])</f>
        <v>6144</v>
      </c>
      <c r="J783" t="str" cm="1">
        <f t="array" aca="1" ref="J783" ca="1">INDEX(PaymentMethods[Payment Method],RANDBETWEEN(1,5))</f>
        <v>Cash</v>
      </c>
    </row>
    <row r="784" spans="1:10" x14ac:dyDescent="0.3">
      <c r="A784" t="str">
        <f t="shared" si="38"/>
        <v>O0783</v>
      </c>
      <c r="B784" s="6">
        <f ca="1">Orders[[#This Row],[Discount%]]</f>
        <v>0.01</v>
      </c>
      <c r="C784" t="str" cm="1">
        <f t="array" aca="1" ref="C784" ca="1">INDEX(Customers[Customer ID],RANDBETWEEN(1,200))</f>
        <v>C048</v>
      </c>
      <c r="D784" t="str" cm="1">
        <f t="array" aca="1" ref="D784" ca="1">INDEX(Products[Product ID],RANDBETWEEN(1,50))</f>
        <v>P019</v>
      </c>
      <c r="E784" t="str" cm="1">
        <f t="array" aca="1" ref="E784" ca="1">INDEX(Warehouses[Warehouse ID],RANDBETWEEN(1,8))</f>
        <v>W008</v>
      </c>
      <c r="F784">
        <f t="shared" ca="1" si="36"/>
        <v>4</v>
      </c>
      <c r="G784">
        <f ca="1">_xlfn.XLOOKUP(Orders[[#This Row],[Product ID]],Products[Product ID],Products[Selling Price])</f>
        <v>950</v>
      </c>
      <c r="H784" s="6">
        <f t="shared" ca="1" si="37"/>
        <v>0.01</v>
      </c>
      <c r="I784">
        <f ca="1">Orders[[#This Row],[Quantity]]*Orders[[#This Row],[Unit Price]]*(1-Orders[[#This Row],[Discount%]])</f>
        <v>3762</v>
      </c>
      <c r="J784" t="str" cm="1">
        <f t="array" aca="1" ref="J784" ca="1">INDEX(PaymentMethods[Payment Method],RANDBETWEEN(1,5))</f>
        <v>Credit Card</v>
      </c>
    </row>
    <row r="785" spans="1:10" x14ac:dyDescent="0.3">
      <c r="A785" t="str">
        <f t="shared" si="38"/>
        <v>O0784</v>
      </c>
      <c r="B785" s="6">
        <f ca="1">Orders[[#This Row],[Discount%]]</f>
        <v>0.2</v>
      </c>
      <c r="C785" t="str" cm="1">
        <f t="array" aca="1" ref="C785" ca="1">INDEX(Customers[Customer ID],RANDBETWEEN(1,200))</f>
        <v>C047</v>
      </c>
      <c r="D785" t="str" cm="1">
        <f t="array" aca="1" ref="D785" ca="1">INDEX(Products[Product ID],RANDBETWEEN(1,50))</f>
        <v>P036</v>
      </c>
      <c r="E785" t="str" cm="1">
        <f t="array" aca="1" ref="E785" ca="1">INDEX(Warehouses[Warehouse ID],RANDBETWEEN(1,8))</f>
        <v>W008</v>
      </c>
      <c r="F785">
        <f t="shared" ca="1" si="36"/>
        <v>6</v>
      </c>
      <c r="G785">
        <f ca="1">_xlfn.XLOOKUP(Orders[[#This Row],[Product ID]],Products[Product ID],Products[Selling Price])</f>
        <v>450</v>
      </c>
      <c r="H785" s="6">
        <f t="shared" ca="1" si="37"/>
        <v>0.2</v>
      </c>
      <c r="I785">
        <f ca="1">Orders[[#This Row],[Quantity]]*Orders[[#This Row],[Unit Price]]*(1-Orders[[#This Row],[Discount%]])</f>
        <v>2160</v>
      </c>
      <c r="J785" t="str" cm="1">
        <f t="array" aca="1" ref="J785" ca="1">INDEX(PaymentMethods[Payment Method],RANDBETWEEN(1,5))</f>
        <v>Debit Card</v>
      </c>
    </row>
    <row r="786" spans="1:10" x14ac:dyDescent="0.3">
      <c r="A786" t="str">
        <f t="shared" si="38"/>
        <v>O0785</v>
      </c>
      <c r="B786" s="6">
        <f ca="1">Orders[[#This Row],[Discount%]]</f>
        <v>0.16</v>
      </c>
      <c r="C786" t="str" cm="1">
        <f t="array" aca="1" ref="C786" ca="1">INDEX(Customers[Customer ID],RANDBETWEEN(1,200))</f>
        <v>C140</v>
      </c>
      <c r="D786" t="str" cm="1">
        <f t="array" aca="1" ref="D786" ca="1">INDEX(Products[Product ID],RANDBETWEEN(1,50))</f>
        <v>P024</v>
      </c>
      <c r="E786" t="str" cm="1">
        <f t="array" aca="1" ref="E786" ca="1">INDEX(Warehouses[Warehouse ID],RANDBETWEEN(1,8))</f>
        <v>W008</v>
      </c>
      <c r="F786">
        <f t="shared" ca="1" si="36"/>
        <v>8</v>
      </c>
      <c r="G786">
        <f ca="1">_xlfn.XLOOKUP(Orders[[#This Row],[Product ID]],Products[Product ID],Products[Selling Price])</f>
        <v>1700</v>
      </c>
      <c r="H786" s="6">
        <f t="shared" ca="1" si="37"/>
        <v>0.16</v>
      </c>
      <c r="I786">
        <f ca="1">Orders[[#This Row],[Quantity]]*Orders[[#This Row],[Unit Price]]*(1-Orders[[#This Row],[Discount%]])</f>
        <v>11424</v>
      </c>
      <c r="J786" t="str" cm="1">
        <f t="array" aca="1" ref="J786" ca="1">INDEX(PaymentMethods[Payment Method],RANDBETWEEN(1,5))</f>
        <v>UPI</v>
      </c>
    </row>
    <row r="787" spans="1:10" x14ac:dyDescent="0.3">
      <c r="A787" t="str">
        <f t="shared" si="38"/>
        <v>O0786</v>
      </c>
      <c r="B787" s="6">
        <f ca="1">Orders[[#This Row],[Discount%]]</f>
        <v>0.08</v>
      </c>
      <c r="C787" t="str" cm="1">
        <f t="array" aca="1" ref="C787" ca="1">INDEX(Customers[Customer ID],RANDBETWEEN(1,200))</f>
        <v>C116</v>
      </c>
      <c r="D787" t="str" cm="1">
        <f t="array" aca="1" ref="D787" ca="1">INDEX(Products[Product ID],RANDBETWEEN(1,50))</f>
        <v>P050</v>
      </c>
      <c r="E787" t="str" cm="1">
        <f t="array" aca="1" ref="E787" ca="1">INDEX(Warehouses[Warehouse ID],RANDBETWEEN(1,8))</f>
        <v>W004</v>
      </c>
      <c r="F787">
        <f t="shared" ca="1" si="36"/>
        <v>4</v>
      </c>
      <c r="G787">
        <f ca="1">_xlfn.XLOOKUP(Orders[[#This Row],[Product ID]],Products[Product ID],Products[Selling Price])</f>
        <v>12000</v>
      </c>
      <c r="H787" s="6">
        <f t="shared" ca="1" si="37"/>
        <v>0.08</v>
      </c>
      <c r="I787">
        <f ca="1">Orders[[#This Row],[Quantity]]*Orders[[#This Row],[Unit Price]]*(1-Orders[[#This Row],[Discount%]])</f>
        <v>44160</v>
      </c>
      <c r="J787" t="str" cm="1">
        <f t="array" aca="1" ref="J787" ca="1">INDEX(PaymentMethods[Payment Method],RANDBETWEEN(1,5))</f>
        <v>Net Banking</v>
      </c>
    </row>
    <row r="788" spans="1:10" x14ac:dyDescent="0.3">
      <c r="A788" t="str">
        <f t="shared" si="38"/>
        <v>O0787</v>
      </c>
      <c r="B788" s="6">
        <f ca="1">Orders[[#This Row],[Discount%]]</f>
        <v>0.08</v>
      </c>
      <c r="C788" t="str" cm="1">
        <f t="array" aca="1" ref="C788" ca="1">INDEX(Customers[Customer ID],RANDBETWEEN(1,200))</f>
        <v>C158</v>
      </c>
      <c r="D788" t="str" cm="1">
        <f t="array" aca="1" ref="D788" ca="1">INDEX(Products[Product ID],RANDBETWEEN(1,50))</f>
        <v>P031</v>
      </c>
      <c r="E788" t="str" cm="1">
        <f t="array" aca="1" ref="E788" ca="1">INDEX(Warehouses[Warehouse ID],RANDBETWEEN(1,8))</f>
        <v>W008</v>
      </c>
      <c r="F788">
        <f t="shared" ca="1" si="36"/>
        <v>1</v>
      </c>
      <c r="G788">
        <f ca="1">_xlfn.XLOOKUP(Orders[[#This Row],[Product ID]],Products[Product ID],Products[Selling Price])</f>
        <v>90</v>
      </c>
      <c r="H788" s="6">
        <f t="shared" ca="1" si="37"/>
        <v>0.08</v>
      </c>
      <c r="I788">
        <f ca="1">Orders[[#This Row],[Quantity]]*Orders[[#This Row],[Unit Price]]*(1-Orders[[#This Row],[Discount%]])</f>
        <v>82.8</v>
      </c>
      <c r="J788" t="str" cm="1">
        <f t="array" aca="1" ref="J788" ca="1">INDEX(PaymentMethods[Payment Method],RANDBETWEEN(1,5))</f>
        <v>Credit Card</v>
      </c>
    </row>
    <row r="789" spans="1:10" x14ac:dyDescent="0.3">
      <c r="A789" t="str">
        <f t="shared" si="38"/>
        <v>O0788</v>
      </c>
      <c r="B789" s="6">
        <f ca="1">Orders[[#This Row],[Discount%]]</f>
        <v>0.05</v>
      </c>
      <c r="C789" t="str" cm="1">
        <f t="array" aca="1" ref="C789" ca="1">INDEX(Customers[Customer ID],RANDBETWEEN(1,200))</f>
        <v>C007</v>
      </c>
      <c r="D789" t="str" cm="1">
        <f t="array" aca="1" ref="D789" ca="1">INDEX(Products[Product ID],RANDBETWEEN(1,50))</f>
        <v>P002</v>
      </c>
      <c r="E789" t="str" cm="1">
        <f t="array" aca="1" ref="E789" ca="1">INDEX(Warehouses[Warehouse ID],RANDBETWEEN(1,8))</f>
        <v>W008</v>
      </c>
      <c r="F789">
        <f t="shared" ca="1" si="36"/>
        <v>5</v>
      </c>
      <c r="G789">
        <f ca="1">_xlfn.XLOOKUP(Orders[[#This Row],[Product ID]],Products[Product ID],Products[Selling Price])</f>
        <v>550</v>
      </c>
      <c r="H789" s="6">
        <f t="shared" ca="1" si="37"/>
        <v>0.05</v>
      </c>
      <c r="I789">
        <f ca="1">Orders[[#This Row],[Quantity]]*Orders[[#This Row],[Unit Price]]*(1-Orders[[#This Row],[Discount%]])</f>
        <v>2612.5</v>
      </c>
      <c r="J789" t="str" cm="1">
        <f t="array" aca="1" ref="J789" ca="1">INDEX(PaymentMethods[Payment Method],RANDBETWEEN(1,5))</f>
        <v>Net Banking</v>
      </c>
    </row>
    <row r="790" spans="1:10" x14ac:dyDescent="0.3">
      <c r="A790" t="str">
        <f t="shared" si="38"/>
        <v>O0789</v>
      </c>
      <c r="B790" s="6">
        <f ca="1">Orders[[#This Row],[Discount%]]</f>
        <v>0.16</v>
      </c>
      <c r="C790" t="str" cm="1">
        <f t="array" aca="1" ref="C790" ca="1">INDEX(Customers[Customer ID],RANDBETWEEN(1,200))</f>
        <v>C170</v>
      </c>
      <c r="D790" t="str" cm="1">
        <f t="array" aca="1" ref="D790" ca="1">INDEX(Products[Product ID],RANDBETWEEN(1,50))</f>
        <v>P027</v>
      </c>
      <c r="E790" t="str" cm="1">
        <f t="array" aca="1" ref="E790" ca="1">INDEX(Warehouses[Warehouse ID],RANDBETWEEN(1,8))</f>
        <v>W003</v>
      </c>
      <c r="F790">
        <f t="shared" ca="1" si="36"/>
        <v>1</v>
      </c>
      <c r="G790">
        <f ca="1">_xlfn.XLOOKUP(Orders[[#This Row],[Product ID]],Products[Product ID],Products[Selling Price])</f>
        <v>4000</v>
      </c>
      <c r="H790" s="6">
        <f t="shared" ca="1" si="37"/>
        <v>0.16</v>
      </c>
      <c r="I790">
        <f ca="1">Orders[[#This Row],[Quantity]]*Orders[[#This Row],[Unit Price]]*(1-Orders[[#This Row],[Discount%]])</f>
        <v>3360</v>
      </c>
      <c r="J790" t="str" cm="1">
        <f t="array" aca="1" ref="J790" ca="1">INDEX(PaymentMethods[Payment Method],RANDBETWEEN(1,5))</f>
        <v>Cash</v>
      </c>
    </row>
    <row r="791" spans="1:10" x14ac:dyDescent="0.3">
      <c r="A791" t="str">
        <f t="shared" si="38"/>
        <v>O0790</v>
      </c>
      <c r="B791" s="6">
        <f ca="1">Orders[[#This Row],[Discount%]]</f>
        <v>0.17</v>
      </c>
      <c r="C791" t="str" cm="1">
        <f t="array" aca="1" ref="C791" ca="1">INDEX(Customers[Customer ID],RANDBETWEEN(1,200))</f>
        <v>C039</v>
      </c>
      <c r="D791" t="str" cm="1">
        <f t="array" aca="1" ref="D791" ca="1">INDEX(Products[Product ID],RANDBETWEEN(1,50))</f>
        <v>P049</v>
      </c>
      <c r="E791" t="str" cm="1">
        <f t="array" aca="1" ref="E791" ca="1">INDEX(Warehouses[Warehouse ID],RANDBETWEEN(1,8))</f>
        <v>W002</v>
      </c>
      <c r="F791">
        <f t="shared" ca="1" si="36"/>
        <v>4</v>
      </c>
      <c r="G791">
        <f ca="1">_xlfn.XLOOKUP(Orders[[#This Row],[Product ID]],Products[Product ID],Products[Selling Price])</f>
        <v>3800</v>
      </c>
      <c r="H791" s="6">
        <f t="shared" ca="1" si="37"/>
        <v>0.17</v>
      </c>
      <c r="I791">
        <f ca="1">Orders[[#This Row],[Quantity]]*Orders[[#This Row],[Unit Price]]*(1-Orders[[#This Row],[Discount%]])</f>
        <v>12616</v>
      </c>
      <c r="J791" t="str" cm="1">
        <f t="array" aca="1" ref="J791" ca="1">INDEX(PaymentMethods[Payment Method],RANDBETWEEN(1,5))</f>
        <v>UPI</v>
      </c>
    </row>
    <row r="792" spans="1:10" x14ac:dyDescent="0.3">
      <c r="A792" t="str">
        <f t="shared" si="38"/>
        <v>O0791</v>
      </c>
      <c r="B792" s="6">
        <f ca="1">Orders[[#This Row],[Discount%]]</f>
        <v>0.2</v>
      </c>
      <c r="C792" t="str" cm="1">
        <f t="array" aca="1" ref="C792" ca="1">INDEX(Customers[Customer ID],RANDBETWEEN(1,200))</f>
        <v>C183</v>
      </c>
      <c r="D792" t="str" cm="1">
        <f t="array" aca="1" ref="D792" ca="1">INDEX(Products[Product ID],RANDBETWEEN(1,50))</f>
        <v>P004</v>
      </c>
      <c r="E792" t="str" cm="1">
        <f t="array" aca="1" ref="E792" ca="1">INDEX(Warehouses[Warehouse ID],RANDBETWEEN(1,8))</f>
        <v>W001</v>
      </c>
      <c r="F792">
        <f t="shared" ca="1" si="36"/>
        <v>6</v>
      </c>
      <c r="G792">
        <f ca="1">_xlfn.XLOOKUP(Orders[[#This Row],[Product ID]],Products[Product ID],Products[Selling Price])</f>
        <v>9000</v>
      </c>
      <c r="H792" s="6">
        <f t="shared" ca="1" si="37"/>
        <v>0.2</v>
      </c>
      <c r="I792">
        <f ca="1">Orders[[#This Row],[Quantity]]*Orders[[#This Row],[Unit Price]]*(1-Orders[[#This Row],[Discount%]])</f>
        <v>43200</v>
      </c>
      <c r="J792" t="str" cm="1">
        <f t="array" aca="1" ref="J792" ca="1">INDEX(PaymentMethods[Payment Method],RANDBETWEEN(1,5))</f>
        <v>Debit Card</v>
      </c>
    </row>
    <row r="793" spans="1:10" x14ac:dyDescent="0.3">
      <c r="A793" t="str">
        <f t="shared" si="38"/>
        <v>O0792</v>
      </c>
      <c r="B793" s="6">
        <f ca="1">Orders[[#This Row],[Discount%]]</f>
        <v>0.14000000000000001</v>
      </c>
      <c r="C793" t="str" cm="1">
        <f t="array" aca="1" ref="C793" ca="1">INDEX(Customers[Customer ID],RANDBETWEEN(1,200))</f>
        <v>C037</v>
      </c>
      <c r="D793" t="str" cm="1">
        <f t="array" aca="1" ref="D793" ca="1">INDEX(Products[Product ID],RANDBETWEEN(1,50))</f>
        <v>P037</v>
      </c>
      <c r="E793" t="str" cm="1">
        <f t="array" aca="1" ref="E793" ca="1">INDEX(Warehouses[Warehouse ID],RANDBETWEEN(1,8))</f>
        <v>W006</v>
      </c>
      <c r="F793">
        <f t="shared" ca="1" si="36"/>
        <v>7</v>
      </c>
      <c r="G793">
        <f ca="1">_xlfn.XLOOKUP(Orders[[#This Row],[Product ID]],Products[Product ID],Products[Selling Price])</f>
        <v>550</v>
      </c>
      <c r="H793" s="6">
        <f t="shared" ca="1" si="37"/>
        <v>0.14000000000000001</v>
      </c>
      <c r="I793">
        <f ca="1">Orders[[#This Row],[Quantity]]*Orders[[#This Row],[Unit Price]]*(1-Orders[[#This Row],[Discount%]])</f>
        <v>3311</v>
      </c>
      <c r="J793" t="str" cm="1">
        <f t="array" aca="1" ref="J793" ca="1">INDEX(PaymentMethods[Payment Method],RANDBETWEEN(1,5))</f>
        <v>Net Banking</v>
      </c>
    </row>
    <row r="794" spans="1:10" x14ac:dyDescent="0.3">
      <c r="A794" t="str">
        <f t="shared" si="38"/>
        <v>O0793</v>
      </c>
      <c r="B794" s="6">
        <f ca="1">Orders[[#This Row],[Discount%]]</f>
        <v>0.03</v>
      </c>
      <c r="C794" t="str" cm="1">
        <f t="array" aca="1" ref="C794" ca="1">INDEX(Customers[Customer ID],RANDBETWEEN(1,200))</f>
        <v>C087</v>
      </c>
      <c r="D794" t="str" cm="1">
        <f t="array" aca="1" ref="D794" ca="1">INDEX(Products[Product ID],RANDBETWEEN(1,50))</f>
        <v>P012</v>
      </c>
      <c r="E794" t="str" cm="1">
        <f t="array" aca="1" ref="E794" ca="1">INDEX(Warehouses[Warehouse ID],RANDBETWEEN(1,8))</f>
        <v>W008</v>
      </c>
      <c r="F794">
        <f t="shared" ca="1" si="36"/>
        <v>9</v>
      </c>
      <c r="G794">
        <f ca="1">_xlfn.XLOOKUP(Orders[[#This Row],[Product ID]],Products[Product ID],Products[Selling Price])</f>
        <v>80</v>
      </c>
      <c r="H794" s="6">
        <f t="shared" ca="1" si="37"/>
        <v>0.03</v>
      </c>
      <c r="I794">
        <f ca="1">Orders[[#This Row],[Quantity]]*Orders[[#This Row],[Unit Price]]*(1-Orders[[#This Row],[Discount%]])</f>
        <v>698.4</v>
      </c>
      <c r="J794" t="str" cm="1">
        <f t="array" aca="1" ref="J794" ca="1">INDEX(PaymentMethods[Payment Method],RANDBETWEEN(1,5))</f>
        <v>Net Banking</v>
      </c>
    </row>
    <row r="795" spans="1:10" x14ac:dyDescent="0.3">
      <c r="A795" t="str">
        <f t="shared" si="38"/>
        <v>O0794</v>
      </c>
      <c r="B795" s="6">
        <f ca="1">Orders[[#This Row],[Discount%]]</f>
        <v>0.1</v>
      </c>
      <c r="C795" t="str" cm="1">
        <f t="array" aca="1" ref="C795" ca="1">INDEX(Customers[Customer ID],RANDBETWEEN(1,200))</f>
        <v>C056</v>
      </c>
      <c r="D795" t="str" cm="1">
        <f t="array" aca="1" ref="D795" ca="1">INDEX(Products[Product ID],RANDBETWEEN(1,50))</f>
        <v>P004</v>
      </c>
      <c r="E795" t="str" cm="1">
        <f t="array" aca="1" ref="E795" ca="1">INDEX(Warehouses[Warehouse ID],RANDBETWEEN(1,8))</f>
        <v>W008</v>
      </c>
      <c r="F795">
        <f t="shared" ca="1" si="36"/>
        <v>8</v>
      </c>
      <c r="G795">
        <f ca="1">_xlfn.XLOOKUP(Orders[[#This Row],[Product ID]],Products[Product ID],Products[Selling Price])</f>
        <v>9000</v>
      </c>
      <c r="H795" s="6">
        <f t="shared" ca="1" si="37"/>
        <v>0.1</v>
      </c>
      <c r="I795">
        <f ca="1">Orders[[#This Row],[Quantity]]*Orders[[#This Row],[Unit Price]]*(1-Orders[[#This Row],[Discount%]])</f>
        <v>64800</v>
      </c>
      <c r="J795" t="str" cm="1">
        <f t="array" aca="1" ref="J795" ca="1">INDEX(PaymentMethods[Payment Method],RANDBETWEEN(1,5))</f>
        <v>Cash</v>
      </c>
    </row>
    <row r="796" spans="1:10" x14ac:dyDescent="0.3">
      <c r="A796" t="str">
        <f t="shared" si="38"/>
        <v>O0795</v>
      </c>
      <c r="B796" s="6">
        <f ca="1">Orders[[#This Row],[Discount%]]</f>
        <v>7.0000000000000007E-2</v>
      </c>
      <c r="C796" t="str" cm="1">
        <f t="array" aca="1" ref="C796" ca="1">INDEX(Customers[Customer ID],RANDBETWEEN(1,200))</f>
        <v>C088</v>
      </c>
      <c r="D796" t="str" cm="1">
        <f t="array" aca="1" ref="D796" ca="1">INDEX(Products[Product ID],RANDBETWEEN(1,50))</f>
        <v>P012</v>
      </c>
      <c r="E796" t="str" cm="1">
        <f t="array" aca="1" ref="E796" ca="1">INDEX(Warehouses[Warehouse ID],RANDBETWEEN(1,8))</f>
        <v>W006</v>
      </c>
      <c r="F796">
        <f t="shared" ca="1" si="36"/>
        <v>1</v>
      </c>
      <c r="G796">
        <f ca="1">_xlfn.XLOOKUP(Orders[[#This Row],[Product ID]],Products[Product ID],Products[Selling Price])</f>
        <v>80</v>
      </c>
      <c r="H796" s="6">
        <f t="shared" ca="1" si="37"/>
        <v>7.0000000000000007E-2</v>
      </c>
      <c r="I796">
        <f ca="1">Orders[[#This Row],[Quantity]]*Orders[[#This Row],[Unit Price]]*(1-Orders[[#This Row],[Discount%]])</f>
        <v>74.399999999999991</v>
      </c>
      <c r="J796" t="str" cm="1">
        <f t="array" aca="1" ref="J796" ca="1">INDEX(PaymentMethods[Payment Method],RANDBETWEEN(1,5))</f>
        <v>Cash</v>
      </c>
    </row>
    <row r="797" spans="1:10" x14ac:dyDescent="0.3">
      <c r="A797" t="str">
        <f t="shared" si="38"/>
        <v>O0796</v>
      </c>
      <c r="B797" s="6">
        <f ca="1">Orders[[#This Row],[Discount%]]</f>
        <v>0.05</v>
      </c>
      <c r="C797" t="str" cm="1">
        <f t="array" aca="1" ref="C797" ca="1">INDEX(Customers[Customer ID],RANDBETWEEN(1,200))</f>
        <v>C166</v>
      </c>
      <c r="D797" t="str" cm="1">
        <f t="array" aca="1" ref="D797" ca="1">INDEX(Products[Product ID],RANDBETWEEN(1,50))</f>
        <v>P050</v>
      </c>
      <c r="E797" t="str" cm="1">
        <f t="array" aca="1" ref="E797" ca="1">INDEX(Warehouses[Warehouse ID],RANDBETWEEN(1,8))</f>
        <v>W001</v>
      </c>
      <c r="F797">
        <f t="shared" ca="1" si="36"/>
        <v>8</v>
      </c>
      <c r="G797">
        <f ca="1">_xlfn.XLOOKUP(Orders[[#This Row],[Product ID]],Products[Product ID],Products[Selling Price])</f>
        <v>12000</v>
      </c>
      <c r="H797" s="6">
        <f t="shared" ca="1" si="37"/>
        <v>0.05</v>
      </c>
      <c r="I797">
        <f ca="1">Orders[[#This Row],[Quantity]]*Orders[[#This Row],[Unit Price]]*(1-Orders[[#This Row],[Discount%]])</f>
        <v>91200</v>
      </c>
      <c r="J797" t="str" cm="1">
        <f t="array" aca="1" ref="J797" ca="1">INDEX(PaymentMethods[Payment Method],RANDBETWEEN(1,5))</f>
        <v>Net Banking</v>
      </c>
    </row>
    <row r="798" spans="1:10" x14ac:dyDescent="0.3">
      <c r="A798" t="str">
        <f t="shared" si="38"/>
        <v>O0797</v>
      </c>
      <c r="B798" s="6">
        <f ca="1">Orders[[#This Row],[Discount%]]</f>
        <v>0.13</v>
      </c>
      <c r="C798" t="str" cm="1">
        <f t="array" aca="1" ref="C798" ca="1">INDEX(Customers[Customer ID],RANDBETWEEN(1,200))</f>
        <v>C009</v>
      </c>
      <c r="D798" t="str" cm="1">
        <f t="array" aca="1" ref="D798" ca="1">INDEX(Products[Product ID],RANDBETWEEN(1,50))</f>
        <v>P014</v>
      </c>
      <c r="E798" t="str" cm="1">
        <f t="array" aca="1" ref="E798" ca="1">INDEX(Warehouses[Warehouse ID],RANDBETWEEN(1,8))</f>
        <v>W001</v>
      </c>
      <c r="F798">
        <f t="shared" ca="1" si="36"/>
        <v>6</v>
      </c>
      <c r="G798">
        <f ca="1">_xlfn.XLOOKUP(Orders[[#This Row],[Product ID]],Products[Product ID],Products[Selling Price])</f>
        <v>800</v>
      </c>
      <c r="H798" s="6">
        <f t="shared" ca="1" si="37"/>
        <v>0.13</v>
      </c>
      <c r="I798">
        <f ca="1">Orders[[#This Row],[Quantity]]*Orders[[#This Row],[Unit Price]]*(1-Orders[[#This Row],[Discount%]])</f>
        <v>4176</v>
      </c>
      <c r="J798" t="str" cm="1">
        <f t="array" aca="1" ref="J798" ca="1">INDEX(PaymentMethods[Payment Method],RANDBETWEEN(1,5))</f>
        <v>Debit Card</v>
      </c>
    </row>
    <row r="799" spans="1:10" x14ac:dyDescent="0.3">
      <c r="A799" t="str">
        <f t="shared" si="38"/>
        <v>O0798</v>
      </c>
      <c r="B799" s="6">
        <f ca="1">Orders[[#This Row],[Discount%]]</f>
        <v>0.04</v>
      </c>
      <c r="C799" t="str" cm="1">
        <f t="array" aca="1" ref="C799" ca="1">INDEX(Customers[Customer ID],RANDBETWEEN(1,200))</f>
        <v>C091</v>
      </c>
      <c r="D799" t="str" cm="1">
        <f t="array" aca="1" ref="D799" ca="1">INDEX(Products[Product ID],RANDBETWEEN(1,50))</f>
        <v>P039</v>
      </c>
      <c r="E799" t="str" cm="1">
        <f t="array" aca="1" ref="E799" ca="1">INDEX(Warehouses[Warehouse ID],RANDBETWEEN(1,8))</f>
        <v>W005</v>
      </c>
      <c r="F799">
        <f t="shared" ca="1" si="36"/>
        <v>5</v>
      </c>
      <c r="G799">
        <f ca="1">_xlfn.XLOOKUP(Orders[[#This Row],[Product ID]],Products[Product ID],Products[Selling Price])</f>
        <v>250</v>
      </c>
      <c r="H799" s="6">
        <f t="shared" ca="1" si="37"/>
        <v>0.04</v>
      </c>
      <c r="I799">
        <f ca="1">Orders[[#This Row],[Quantity]]*Orders[[#This Row],[Unit Price]]*(1-Orders[[#This Row],[Discount%]])</f>
        <v>1200</v>
      </c>
      <c r="J799" t="str" cm="1">
        <f t="array" aca="1" ref="J799" ca="1">INDEX(PaymentMethods[Payment Method],RANDBETWEEN(1,5))</f>
        <v>Cash</v>
      </c>
    </row>
    <row r="800" spans="1:10" x14ac:dyDescent="0.3">
      <c r="A800" t="str">
        <f t="shared" si="38"/>
        <v>O0799</v>
      </c>
      <c r="B800" s="6">
        <f ca="1">Orders[[#This Row],[Discount%]]</f>
        <v>7.0000000000000007E-2</v>
      </c>
      <c r="C800" t="str" cm="1">
        <f t="array" aca="1" ref="C800" ca="1">INDEX(Customers[Customer ID],RANDBETWEEN(1,200))</f>
        <v>C112</v>
      </c>
      <c r="D800" t="str" cm="1">
        <f t="array" aca="1" ref="D800" ca="1">INDEX(Products[Product ID],RANDBETWEEN(1,50))</f>
        <v>P050</v>
      </c>
      <c r="E800" t="str" cm="1">
        <f t="array" aca="1" ref="E800" ca="1">INDEX(Warehouses[Warehouse ID],RANDBETWEEN(1,8))</f>
        <v>W001</v>
      </c>
      <c r="F800">
        <f t="shared" ca="1" si="36"/>
        <v>1</v>
      </c>
      <c r="G800">
        <f ca="1">_xlfn.XLOOKUP(Orders[[#This Row],[Product ID]],Products[Product ID],Products[Selling Price])</f>
        <v>12000</v>
      </c>
      <c r="H800" s="6">
        <f t="shared" ca="1" si="37"/>
        <v>7.0000000000000007E-2</v>
      </c>
      <c r="I800">
        <f ca="1">Orders[[#This Row],[Quantity]]*Orders[[#This Row],[Unit Price]]*(1-Orders[[#This Row],[Discount%]])</f>
        <v>11160</v>
      </c>
      <c r="J800" t="str" cm="1">
        <f t="array" aca="1" ref="J800" ca="1">INDEX(PaymentMethods[Payment Method],RANDBETWEEN(1,5))</f>
        <v>Cash</v>
      </c>
    </row>
    <row r="801" spans="1:10" x14ac:dyDescent="0.3">
      <c r="A801" t="str">
        <f t="shared" si="38"/>
        <v>O0800</v>
      </c>
      <c r="B801" s="6">
        <f ca="1">Orders[[#This Row],[Discount%]]</f>
        <v>0.03</v>
      </c>
      <c r="C801" t="str" cm="1">
        <f t="array" aca="1" ref="C801" ca="1">INDEX(Customers[Customer ID],RANDBETWEEN(1,200))</f>
        <v>C059</v>
      </c>
      <c r="D801" t="str" cm="1">
        <f t="array" aca="1" ref="D801" ca="1">INDEX(Products[Product ID],RANDBETWEEN(1,50))</f>
        <v>P047</v>
      </c>
      <c r="E801" t="str" cm="1">
        <f t="array" aca="1" ref="E801" ca="1">INDEX(Warehouses[Warehouse ID],RANDBETWEEN(1,8))</f>
        <v>W008</v>
      </c>
      <c r="F801">
        <f t="shared" ca="1" si="36"/>
        <v>10</v>
      </c>
      <c r="G801">
        <f ca="1">_xlfn.XLOOKUP(Orders[[#This Row],[Product ID]],Products[Product ID],Products[Selling Price])</f>
        <v>6200</v>
      </c>
      <c r="H801" s="6">
        <f t="shared" ca="1" si="37"/>
        <v>0.03</v>
      </c>
      <c r="I801">
        <f ca="1">Orders[[#This Row],[Quantity]]*Orders[[#This Row],[Unit Price]]*(1-Orders[[#This Row],[Discount%]])</f>
        <v>60140</v>
      </c>
      <c r="J801" t="str" cm="1">
        <f t="array" aca="1" ref="J801" ca="1">INDEX(PaymentMethods[Payment Method],RANDBETWEEN(1,5))</f>
        <v>Debit Card</v>
      </c>
    </row>
    <row r="802" spans="1:10" x14ac:dyDescent="0.3">
      <c r="A802" t="str">
        <f t="shared" si="38"/>
        <v>O0801</v>
      </c>
      <c r="B802" s="6">
        <f ca="1">Orders[[#This Row],[Discount%]]</f>
        <v>0.19</v>
      </c>
      <c r="C802" t="str" cm="1">
        <f t="array" aca="1" ref="C802" ca="1">INDEX(Customers[Customer ID],RANDBETWEEN(1,200))</f>
        <v>C101</v>
      </c>
      <c r="D802" t="str" cm="1">
        <f t="array" aca="1" ref="D802" ca="1">INDEX(Products[Product ID],RANDBETWEEN(1,50))</f>
        <v>P020</v>
      </c>
      <c r="E802" t="str" cm="1">
        <f t="array" aca="1" ref="E802" ca="1">INDEX(Warehouses[Warehouse ID],RANDBETWEEN(1,8))</f>
        <v>W008</v>
      </c>
      <c r="F802">
        <f t="shared" ca="1" si="36"/>
        <v>1</v>
      </c>
      <c r="G802">
        <f ca="1">_xlfn.XLOOKUP(Orders[[#This Row],[Product ID]],Products[Product ID],Products[Selling Price])</f>
        <v>450</v>
      </c>
      <c r="H802" s="6">
        <f t="shared" ca="1" si="37"/>
        <v>0.19</v>
      </c>
      <c r="I802">
        <f ca="1">Orders[[#This Row],[Quantity]]*Orders[[#This Row],[Unit Price]]*(1-Orders[[#This Row],[Discount%]])</f>
        <v>364.5</v>
      </c>
      <c r="J802" t="str" cm="1">
        <f t="array" aca="1" ref="J802" ca="1">INDEX(PaymentMethods[Payment Method],RANDBETWEEN(1,5))</f>
        <v>Net Banking</v>
      </c>
    </row>
    <row r="803" spans="1:10" x14ac:dyDescent="0.3">
      <c r="A803" t="str">
        <f t="shared" si="38"/>
        <v>O0802</v>
      </c>
      <c r="B803" s="6">
        <f ca="1">Orders[[#This Row],[Discount%]]</f>
        <v>0.12</v>
      </c>
      <c r="C803" t="str" cm="1">
        <f t="array" aca="1" ref="C803" ca="1">INDEX(Customers[Customer ID],RANDBETWEEN(1,200))</f>
        <v>C147</v>
      </c>
      <c r="D803" t="str" cm="1">
        <f t="array" aca="1" ref="D803" ca="1">INDEX(Products[Product ID],RANDBETWEEN(1,50))</f>
        <v>P028</v>
      </c>
      <c r="E803" t="str" cm="1">
        <f t="array" aca="1" ref="E803" ca="1">INDEX(Warehouses[Warehouse ID],RANDBETWEEN(1,8))</f>
        <v>W004</v>
      </c>
      <c r="F803">
        <f t="shared" ca="1" si="36"/>
        <v>2</v>
      </c>
      <c r="G803">
        <f ca="1">_xlfn.XLOOKUP(Orders[[#This Row],[Product ID]],Products[Product ID],Products[Selling Price])</f>
        <v>16500</v>
      </c>
      <c r="H803" s="6">
        <f t="shared" ca="1" si="37"/>
        <v>0.12</v>
      </c>
      <c r="I803">
        <f ca="1">Orders[[#This Row],[Quantity]]*Orders[[#This Row],[Unit Price]]*(1-Orders[[#This Row],[Discount%]])</f>
        <v>29040</v>
      </c>
      <c r="J803" t="str" cm="1">
        <f t="array" aca="1" ref="J803" ca="1">INDEX(PaymentMethods[Payment Method],RANDBETWEEN(1,5))</f>
        <v>Credit Card</v>
      </c>
    </row>
    <row r="804" spans="1:10" x14ac:dyDescent="0.3">
      <c r="A804" t="str">
        <f t="shared" si="38"/>
        <v>O0803</v>
      </c>
      <c r="B804" s="6">
        <f ca="1">Orders[[#This Row],[Discount%]]</f>
        <v>0.18</v>
      </c>
      <c r="C804" t="str" cm="1">
        <f t="array" aca="1" ref="C804" ca="1">INDEX(Customers[Customer ID],RANDBETWEEN(1,200))</f>
        <v>C078</v>
      </c>
      <c r="D804" t="str" cm="1">
        <f t="array" aca="1" ref="D804" ca="1">INDEX(Products[Product ID],RANDBETWEEN(1,50))</f>
        <v>P024</v>
      </c>
      <c r="E804" t="str" cm="1">
        <f t="array" aca="1" ref="E804" ca="1">INDEX(Warehouses[Warehouse ID],RANDBETWEEN(1,8))</f>
        <v>W004</v>
      </c>
      <c r="F804">
        <f t="shared" ca="1" si="36"/>
        <v>7</v>
      </c>
      <c r="G804">
        <f ca="1">_xlfn.XLOOKUP(Orders[[#This Row],[Product ID]],Products[Product ID],Products[Selling Price])</f>
        <v>1700</v>
      </c>
      <c r="H804" s="6">
        <f t="shared" ca="1" si="37"/>
        <v>0.18</v>
      </c>
      <c r="I804">
        <f ca="1">Orders[[#This Row],[Quantity]]*Orders[[#This Row],[Unit Price]]*(1-Orders[[#This Row],[Discount%]])</f>
        <v>9758</v>
      </c>
      <c r="J804" t="str" cm="1">
        <f t="array" aca="1" ref="J804" ca="1">INDEX(PaymentMethods[Payment Method],RANDBETWEEN(1,5))</f>
        <v>Net Banking</v>
      </c>
    </row>
    <row r="805" spans="1:10" x14ac:dyDescent="0.3">
      <c r="A805" t="str">
        <f t="shared" si="38"/>
        <v>O0804</v>
      </c>
      <c r="B805" s="6">
        <f ca="1">Orders[[#This Row],[Discount%]]</f>
        <v>0.2</v>
      </c>
      <c r="C805" t="str" cm="1">
        <f t="array" aca="1" ref="C805" ca="1">INDEX(Customers[Customer ID],RANDBETWEEN(1,200))</f>
        <v>C004</v>
      </c>
      <c r="D805" t="str" cm="1">
        <f t="array" aca="1" ref="D805" ca="1">INDEX(Products[Product ID],RANDBETWEEN(1,50))</f>
        <v>P023</v>
      </c>
      <c r="E805" t="str" cm="1">
        <f t="array" aca="1" ref="E805" ca="1">INDEX(Warehouses[Warehouse ID],RANDBETWEEN(1,8))</f>
        <v>W006</v>
      </c>
      <c r="F805">
        <f t="shared" ca="1" si="36"/>
        <v>4</v>
      </c>
      <c r="G805">
        <f ca="1">_xlfn.XLOOKUP(Orders[[#This Row],[Product ID]],Products[Product ID],Products[Selling Price])</f>
        <v>2300</v>
      </c>
      <c r="H805" s="6">
        <f t="shared" ca="1" si="37"/>
        <v>0.2</v>
      </c>
      <c r="I805">
        <f ca="1">Orders[[#This Row],[Quantity]]*Orders[[#This Row],[Unit Price]]*(1-Orders[[#This Row],[Discount%]])</f>
        <v>7360</v>
      </c>
      <c r="J805" t="str" cm="1">
        <f t="array" aca="1" ref="J805" ca="1">INDEX(PaymentMethods[Payment Method],RANDBETWEEN(1,5))</f>
        <v>Net Banking</v>
      </c>
    </row>
    <row r="806" spans="1:10" x14ac:dyDescent="0.3">
      <c r="A806" t="str">
        <f t="shared" si="38"/>
        <v>O0805</v>
      </c>
      <c r="B806" s="6">
        <f ca="1">Orders[[#This Row],[Discount%]]</f>
        <v>0.19</v>
      </c>
      <c r="C806" t="str" cm="1">
        <f t="array" aca="1" ref="C806" ca="1">INDEX(Customers[Customer ID],RANDBETWEEN(1,200))</f>
        <v>C192</v>
      </c>
      <c r="D806" t="str" cm="1">
        <f t="array" aca="1" ref="D806" ca="1">INDEX(Products[Product ID],RANDBETWEEN(1,50))</f>
        <v>P039</v>
      </c>
      <c r="E806" t="str" cm="1">
        <f t="array" aca="1" ref="E806" ca="1">INDEX(Warehouses[Warehouse ID],RANDBETWEEN(1,8))</f>
        <v>W003</v>
      </c>
      <c r="F806">
        <f t="shared" ca="1" si="36"/>
        <v>1</v>
      </c>
      <c r="G806">
        <f ca="1">_xlfn.XLOOKUP(Orders[[#This Row],[Product ID]],Products[Product ID],Products[Selling Price])</f>
        <v>250</v>
      </c>
      <c r="H806" s="6">
        <f t="shared" ca="1" si="37"/>
        <v>0.19</v>
      </c>
      <c r="I806">
        <f ca="1">Orders[[#This Row],[Quantity]]*Orders[[#This Row],[Unit Price]]*(1-Orders[[#This Row],[Discount%]])</f>
        <v>202.5</v>
      </c>
      <c r="J806" t="str" cm="1">
        <f t="array" aca="1" ref="J806" ca="1">INDEX(PaymentMethods[Payment Method],RANDBETWEEN(1,5))</f>
        <v>Credit Card</v>
      </c>
    </row>
    <row r="807" spans="1:10" x14ac:dyDescent="0.3">
      <c r="A807" t="str">
        <f t="shared" si="38"/>
        <v>O0806</v>
      </c>
      <c r="B807" s="6">
        <f ca="1">Orders[[#This Row],[Discount%]]</f>
        <v>0.2</v>
      </c>
      <c r="C807" t="str" cm="1">
        <f t="array" aca="1" ref="C807" ca="1">INDEX(Customers[Customer ID],RANDBETWEEN(1,200))</f>
        <v>C182</v>
      </c>
      <c r="D807" t="str" cm="1">
        <f t="array" aca="1" ref="D807" ca="1">INDEX(Products[Product ID],RANDBETWEEN(1,50))</f>
        <v>P019</v>
      </c>
      <c r="E807" t="str" cm="1">
        <f t="array" aca="1" ref="E807" ca="1">INDEX(Warehouses[Warehouse ID],RANDBETWEEN(1,8))</f>
        <v>W001</v>
      </c>
      <c r="F807">
        <f t="shared" ca="1" si="36"/>
        <v>4</v>
      </c>
      <c r="G807">
        <f ca="1">_xlfn.XLOOKUP(Orders[[#This Row],[Product ID]],Products[Product ID],Products[Selling Price])</f>
        <v>950</v>
      </c>
      <c r="H807" s="6">
        <f t="shared" ca="1" si="37"/>
        <v>0.2</v>
      </c>
      <c r="I807">
        <f ca="1">Orders[[#This Row],[Quantity]]*Orders[[#This Row],[Unit Price]]*(1-Orders[[#This Row],[Discount%]])</f>
        <v>3040</v>
      </c>
      <c r="J807" t="str" cm="1">
        <f t="array" aca="1" ref="J807" ca="1">INDEX(PaymentMethods[Payment Method],RANDBETWEEN(1,5))</f>
        <v>UPI</v>
      </c>
    </row>
    <row r="808" spans="1:10" x14ac:dyDescent="0.3">
      <c r="A808" t="str">
        <f t="shared" si="38"/>
        <v>O0807</v>
      </c>
      <c r="B808" s="6">
        <f ca="1">Orders[[#This Row],[Discount%]]</f>
        <v>0.15</v>
      </c>
      <c r="C808" t="str" cm="1">
        <f t="array" aca="1" ref="C808" ca="1">INDEX(Customers[Customer ID],RANDBETWEEN(1,200))</f>
        <v>C174</v>
      </c>
      <c r="D808" t="str" cm="1">
        <f t="array" aca="1" ref="D808" ca="1">INDEX(Products[Product ID],RANDBETWEEN(1,50))</f>
        <v>P018</v>
      </c>
      <c r="E808" t="str" cm="1">
        <f t="array" aca="1" ref="E808" ca="1">INDEX(Warehouses[Warehouse ID],RANDBETWEEN(1,8))</f>
        <v>W003</v>
      </c>
      <c r="F808">
        <f t="shared" ca="1" si="36"/>
        <v>1</v>
      </c>
      <c r="G808">
        <f ca="1">_xlfn.XLOOKUP(Orders[[#This Row],[Product ID]],Products[Product ID],Products[Selling Price])</f>
        <v>1500</v>
      </c>
      <c r="H808" s="6">
        <f t="shared" ca="1" si="37"/>
        <v>0.15</v>
      </c>
      <c r="I808">
        <f ca="1">Orders[[#This Row],[Quantity]]*Orders[[#This Row],[Unit Price]]*(1-Orders[[#This Row],[Discount%]])</f>
        <v>1275</v>
      </c>
      <c r="J808" t="str" cm="1">
        <f t="array" aca="1" ref="J808" ca="1">INDEX(PaymentMethods[Payment Method],RANDBETWEEN(1,5))</f>
        <v>UPI</v>
      </c>
    </row>
    <row r="809" spans="1:10" x14ac:dyDescent="0.3">
      <c r="A809" t="str">
        <f t="shared" si="38"/>
        <v>O0808</v>
      </c>
      <c r="B809" s="6">
        <f ca="1">Orders[[#This Row],[Discount%]]</f>
        <v>0.12</v>
      </c>
      <c r="C809" t="str" cm="1">
        <f t="array" aca="1" ref="C809" ca="1">INDEX(Customers[Customer ID],RANDBETWEEN(1,200))</f>
        <v>C180</v>
      </c>
      <c r="D809" t="str" cm="1">
        <f t="array" aca="1" ref="D809" ca="1">INDEX(Products[Product ID],RANDBETWEEN(1,50))</f>
        <v>P015</v>
      </c>
      <c r="E809" t="str" cm="1">
        <f t="array" aca="1" ref="E809" ca="1">INDEX(Warehouses[Warehouse ID],RANDBETWEEN(1,8))</f>
        <v>W002</v>
      </c>
      <c r="F809">
        <f t="shared" ca="1" si="36"/>
        <v>3</v>
      </c>
      <c r="G809">
        <f ca="1">_xlfn.XLOOKUP(Orders[[#This Row],[Product ID]],Products[Product ID],Products[Selling Price])</f>
        <v>1800</v>
      </c>
      <c r="H809" s="6">
        <f t="shared" ca="1" si="37"/>
        <v>0.12</v>
      </c>
      <c r="I809">
        <f ca="1">Orders[[#This Row],[Quantity]]*Orders[[#This Row],[Unit Price]]*(1-Orders[[#This Row],[Discount%]])</f>
        <v>4752</v>
      </c>
      <c r="J809" t="str" cm="1">
        <f t="array" aca="1" ref="J809" ca="1">INDEX(PaymentMethods[Payment Method],RANDBETWEEN(1,5))</f>
        <v>Debit Card</v>
      </c>
    </row>
    <row r="810" spans="1:10" x14ac:dyDescent="0.3">
      <c r="A810" t="str">
        <f t="shared" si="38"/>
        <v>O0809</v>
      </c>
      <c r="B810" s="6">
        <f ca="1">Orders[[#This Row],[Discount%]]</f>
        <v>0.01</v>
      </c>
      <c r="C810" t="str" cm="1">
        <f t="array" aca="1" ref="C810" ca="1">INDEX(Customers[Customer ID],RANDBETWEEN(1,200))</f>
        <v>C170</v>
      </c>
      <c r="D810" t="str" cm="1">
        <f t="array" aca="1" ref="D810" ca="1">INDEX(Products[Product ID],RANDBETWEEN(1,50))</f>
        <v>P024</v>
      </c>
      <c r="E810" t="str" cm="1">
        <f t="array" aca="1" ref="E810" ca="1">INDEX(Warehouses[Warehouse ID],RANDBETWEEN(1,8))</f>
        <v>W001</v>
      </c>
      <c r="F810">
        <f t="shared" ca="1" si="36"/>
        <v>3</v>
      </c>
      <c r="G810">
        <f ca="1">_xlfn.XLOOKUP(Orders[[#This Row],[Product ID]],Products[Product ID],Products[Selling Price])</f>
        <v>1700</v>
      </c>
      <c r="H810" s="6">
        <f t="shared" ca="1" si="37"/>
        <v>0.01</v>
      </c>
      <c r="I810">
        <f ca="1">Orders[[#This Row],[Quantity]]*Orders[[#This Row],[Unit Price]]*(1-Orders[[#This Row],[Discount%]])</f>
        <v>5049</v>
      </c>
      <c r="J810" t="str" cm="1">
        <f t="array" aca="1" ref="J810" ca="1">INDEX(PaymentMethods[Payment Method],RANDBETWEEN(1,5))</f>
        <v>Credit Card</v>
      </c>
    </row>
    <row r="811" spans="1:10" x14ac:dyDescent="0.3">
      <c r="A811" t="str">
        <f t="shared" si="38"/>
        <v>O0810</v>
      </c>
      <c r="B811" s="6">
        <f ca="1">Orders[[#This Row],[Discount%]]</f>
        <v>0.2</v>
      </c>
      <c r="C811" t="str" cm="1">
        <f t="array" aca="1" ref="C811" ca="1">INDEX(Customers[Customer ID],RANDBETWEEN(1,200))</f>
        <v>C160</v>
      </c>
      <c r="D811" t="str" cm="1">
        <f t="array" aca="1" ref="D811" ca="1">INDEX(Products[Product ID],RANDBETWEEN(1,50))</f>
        <v>P042</v>
      </c>
      <c r="E811" t="str" cm="1">
        <f t="array" aca="1" ref="E811" ca="1">INDEX(Warehouses[Warehouse ID],RANDBETWEEN(1,8))</f>
        <v>W006</v>
      </c>
      <c r="F811">
        <f t="shared" ca="1" si="36"/>
        <v>10</v>
      </c>
      <c r="G811">
        <f ca="1">_xlfn.XLOOKUP(Orders[[#This Row],[Product ID]],Products[Product ID],Products[Selling Price])</f>
        <v>29000</v>
      </c>
      <c r="H811" s="6">
        <f t="shared" ca="1" si="37"/>
        <v>0.2</v>
      </c>
      <c r="I811">
        <f ca="1">Orders[[#This Row],[Quantity]]*Orders[[#This Row],[Unit Price]]*(1-Orders[[#This Row],[Discount%]])</f>
        <v>232000</v>
      </c>
      <c r="J811" t="str" cm="1">
        <f t="array" aca="1" ref="J811" ca="1">INDEX(PaymentMethods[Payment Method],RANDBETWEEN(1,5))</f>
        <v>Cash</v>
      </c>
    </row>
    <row r="812" spans="1:10" x14ac:dyDescent="0.3">
      <c r="A812" t="str">
        <f t="shared" si="38"/>
        <v>O0811</v>
      </c>
      <c r="B812" s="6">
        <f ca="1">Orders[[#This Row],[Discount%]]</f>
        <v>0.17</v>
      </c>
      <c r="C812" t="str" cm="1">
        <f t="array" aca="1" ref="C812" ca="1">INDEX(Customers[Customer ID],RANDBETWEEN(1,200))</f>
        <v>C081</v>
      </c>
      <c r="D812" t="str" cm="1">
        <f t="array" aca="1" ref="D812" ca="1">INDEX(Products[Product ID],RANDBETWEEN(1,50))</f>
        <v>P048</v>
      </c>
      <c r="E812" t="str" cm="1">
        <f t="array" aca="1" ref="E812" ca="1">INDEX(Warehouses[Warehouse ID],RANDBETWEEN(1,8))</f>
        <v>W001</v>
      </c>
      <c r="F812">
        <f t="shared" ca="1" si="36"/>
        <v>3</v>
      </c>
      <c r="G812">
        <f ca="1">_xlfn.XLOOKUP(Orders[[#This Row],[Product ID]],Products[Product ID],Products[Selling Price])</f>
        <v>1200</v>
      </c>
      <c r="H812" s="6">
        <f t="shared" ca="1" si="37"/>
        <v>0.17</v>
      </c>
      <c r="I812">
        <f ca="1">Orders[[#This Row],[Quantity]]*Orders[[#This Row],[Unit Price]]*(1-Orders[[#This Row],[Discount%]])</f>
        <v>2988</v>
      </c>
      <c r="J812" t="str" cm="1">
        <f t="array" aca="1" ref="J812" ca="1">INDEX(PaymentMethods[Payment Method],RANDBETWEEN(1,5))</f>
        <v>UPI</v>
      </c>
    </row>
    <row r="813" spans="1:10" x14ac:dyDescent="0.3">
      <c r="A813" t="str">
        <f t="shared" si="38"/>
        <v>O0812</v>
      </c>
      <c r="B813" s="6">
        <f ca="1">Orders[[#This Row],[Discount%]]</f>
        <v>0.19</v>
      </c>
      <c r="C813" t="str" cm="1">
        <f t="array" aca="1" ref="C813" ca="1">INDEX(Customers[Customer ID],RANDBETWEEN(1,200))</f>
        <v>C114</v>
      </c>
      <c r="D813" t="str" cm="1">
        <f t="array" aca="1" ref="D813" ca="1">INDEX(Products[Product ID],RANDBETWEEN(1,50))</f>
        <v>P017</v>
      </c>
      <c r="E813" t="str" cm="1">
        <f t="array" aca="1" ref="E813" ca="1">INDEX(Warehouses[Warehouse ID],RANDBETWEEN(1,8))</f>
        <v>W001</v>
      </c>
      <c r="F813">
        <f t="shared" ca="1" si="36"/>
        <v>1</v>
      </c>
      <c r="G813">
        <f ca="1">_xlfn.XLOOKUP(Orders[[#This Row],[Product ID]],Products[Product ID],Products[Selling Price])</f>
        <v>650</v>
      </c>
      <c r="H813" s="6">
        <f t="shared" ca="1" si="37"/>
        <v>0.19</v>
      </c>
      <c r="I813">
        <f ca="1">Orders[[#This Row],[Quantity]]*Orders[[#This Row],[Unit Price]]*(1-Orders[[#This Row],[Discount%]])</f>
        <v>526.5</v>
      </c>
      <c r="J813" t="str" cm="1">
        <f t="array" aca="1" ref="J813" ca="1">INDEX(PaymentMethods[Payment Method],RANDBETWEEN(1,5))</f>
        <v>Cash</v>
      </c>
    </row>
    <row r="814" spans="1:10" x14ac:dyDescent="0.3">
      <c r="A814" t="str">
        <f t="shared" si="38"/>
        <v>O0813</v>
      </c>
      <c r="B814" s="6">
        <f ca="1">Orders[[#This Row],[Discount%]]</f>
        <v>0.05</v>
      </c>
      <c r="C814" t="str" cm="1">
        <f t="array" aca="1" ref="C814" ca="1">INDEX(Customers[Customer ID],RANDBETWEEN(1,200))</f>
        <v>C059</v>
      </c>
      <c r="D814" t="str" cm="1">
        <f t="array" aca="1" ref="D814" ca="1">INDEX(Products[Product ID],RANDBETWEEN(1,50))</f>
        <v>P014</v>
      </c>
      <c r="E814" t="str" cm="1">
        <f t="array" aca="1" ref="E814" ca="1">INDEX(Warehouses[Warehouse ID],RANDBETWEEN(1,8))</f>
        <v>W007</v>
      </c>
      <c r="F814">
        <f t="shared" ca="1" si="36"/>
        <v>3</v>
      </c>
      <c r="G814">
        <f ca="1">_xlfn.XLOOKUP(Orders[[#This Row],[Product ID]],Products[Product ID],Products[Selling Price])</f>
        <v>800</v>
      </c>
      <c r="H814" s="6">
        <f t="shared" ca="1" si="37"/>
        <v>0.05</v>
      </c>
      <c r="I814">
        <f ca="1">Orders[[#This Row],[Quantity]]*Orders[[#This Row],[Unit Price]]*(1-Orders[[#This Row],[Discount%]])</f>
        <v>2280</v>
      </c>
      <c r="J814" t="str" cm="1">
        <f t="array" aca="1" ref="J814" ca="1">INDEX(PaymentMethods[Payment Method],RANDBETWEEN(1,5))</f>
        <v>Debit Card</v>
      </c>
    </row>
    <row r="815" spans="1:10" x14ac:dyDescent="0.3">
      <c r="A815" t="str">
        <f t="shared" si="38"/>
        <v>O0814</v>
      </c>
      <c r="B815" s="6">
        <f ca="1">Orders[[#This Row],[Discount%]]</f>
        <v>0.19</v>
      </c>
      <c r="C815" t="str" cm="1">
        <f t="array" aca="1" ref="C815" ca="1">INDEX(Customers[Customer ID],RANDBETWEEN(1,200))</f>
        <v>C086</v>
      </c>
      <c r="D815" t="str" cm="1">
        <f t="array" aca="1" ref="D815" ca="1">INDEX(Products[Product ID],RANDBETWEEN(1,50))</f>
        <v>P004</v>
      </c>
      <c r="E815" t="str" cm="1">
        <f t="array" aca="1" ref="E815" ca="1">INDEX(Warehouses[Warehouse ID],RANDBETWEEN(1,8))</f>
        <v>W007</v>
      </c>
      <c r="F815">
        <f t="shared" ca="1" si="36"/>
        <v>5</v>
      </c>
      <c r="G815">
        <f ca="1">_xlfn.XLOOKUP(Orders[[#This Row],[Product ID]],Products[Product ID],Products[Selling Price])</f>
        <v>9000</v>
      </c>
      <c r="H815" s="6">
        <f t="shared" ca="1" si="37"/>
        <v>0.19</v>
      </c>
      <c r="I815">
        <f ca="1">Orders[[#This Row],[Quantity]]*Orders[[#This Row],[Unit Price]]*(1-Orders[[#This Row],[Discount%]])</f>
        <v>36450</v>
      </c>
      <c r="J815" t="str" cm="1">
        <f t="array" aca="1" ref="J815" ca="1">INDEX(PaymentMethods[Payment Method],RANDBETWEEN(1,5))</f>
        <v>Debit Card</v>
      </c>
    </row>
    <row r="816" spans="1:10" x14ac:dyDescent="0.3">
      <c r="A816" t="str">
        <f t="shared" si="38"/>
        <v>O0815</v>
      </c>
      <c r="B816" s="6">
        <f ca="1">Orders[[#This Row],[Discount%]]</f>
        <v>0.12</v>
      </c>
      <c r="C816" t="str" cm="1">
        <f t="array" aca="1" ref="C816" ca="1">INDEX(Customers[Customer ID],RANDBETWEEN(1,200))</f>
        <v>C008</v>
      </c>
      <c r="D816" t="str" cm="1">
        <f t="array" aca="1" ref="D816" ca="1">INDEX(Products[Product ID],RANDBETWEEN(1,50))</f>
        <v>P044</v>
      </c>
      <c r="E816" t="str" cm="1">
        <f t="array" aca="1" ref="E816" ca="1">INDEX(Warehouses[Warehouse ID],RANDBETWEEN(1,8))</f>
        <v>W002</v>
      </c>
      <c r="F816">
        <f t="shared" ca="1" si="36"/>
        <v>4</v>
      </c>
      <c r="G816">
        <f ca="1">_xlfn.XLOOKUP(Orders[[#This Row],[Product ID]],Products[Product ID],Products[Selling Price])</f>
        <v>8500</v>
      </c>
      <c r="H816" s="6">
        <f t="shared" ca="1" si="37"/>
        <v>0.12</v>
      </c>
      <c r="I816">
        <f ca="1">Orders[[#This Row],[Quantity]]*Orders[[#This Row],[Unit Price]]*(1-Orders[[#This Row],[Discount%]])</f>
        <v>29920</v>
      </c>
      <c r="J816" t="str" cm="1">
        <f t="array" aca="1" ref="J816" ca="1">INDEX(PaymentMethods[Payment Method],RANDBETWEEN(1,5))</f>
        <v>Cash</v>
      </c>
    </row>
    <row r="817" spans="1:10" x14ac:dyDescent="0.3">
      <c r="A817" t="str">
        <f t="shared" si="38"/>
        <v>O0816</v>
      </c>
      <c r="B817" s="6">
        <f ca="1">Orders[[#This Row],[Discount%]]</f>
        <v>0.05</v>
      </c>
      <c r="C817" t="str" cm="1">
        <f t="array" aca="1" ref="C817" ca="1">INDEX(Customers[Customer ID],RANDBETWEEN(1,200))</f>
        <v>C127</v>
      </c>
      <c r="D817" t="str" cm="1">
        <f t="array" aca="1" ref="D817" ca="1">INDEX(Products[Product ID],RANDBETWEEN(1,50))</f>
        <v>P046</v>
      </c>
      <c r="E817" t="str" cm="1">
        <f t="array" aca="1" ref="E817" ca="1">INDEX(Warehouses[Warehouse ID],RANDBETWEEN(1,8))</f>
        <v>W007</v>
      </c>
      <c r="F817">
        <f t="shared" ca="1" si="36"/>
        <v>5</v>
      </c>
      <c r="G817">
        <f ca="1">_xlfn.XLOOKUP(Orders[[#This Row],[Product ID]],Products[Product ID],Products[Selling Price])</f>
        <v>2500</v>
      </c>
      <c r="H817" s="6">
        <f t="shared" ca="1" si="37"/>
        <v>0.05</v>
      </c>
      <c r="I817">
        <f ca="1">Orders[[#This Row],[Quantity]]*Orders[[#This Row],[Unit Price]]*(1-Orders[[#This Row],[Discount%]])</f>
        <v>11875</v>
      </c>
      <c r="J817" t="str" cm="1">
        <f t="array" aca="1" ref="J817" ca="1">INDEX(PaymentMethods[Payment Method],RANDBETWEEN(1,5))</f>
        <v>Cash</v>
      </c>
    </row>
    <row r="818" spans="1:10" x14ac:dyDescent="0.3">
      <c r="A818" t="str">
        <f t="shared" si="38"/>
        <v>O0817</v>
      </c>
      <c r="B818" s="6">
        <f ca="1">Orders[[#This Row],[Discount%]]</f>
        <v>0.04</v>
      </c>
      <c r="C818" t="str" cm="1">
        <f t="array" aca="1" ref="C818" ca="1">INDEX(Customers[Customer ID],RANDBETWEEN(1,200))</f>
        <v>C148</v>
      </c>
      <c r="D818" t="str" cm="1">
        <f t="array" aca="1" ref="D818" ca="1">INDEX(Products[Product ID],RANDBETWEEN(1,50))</f>
        <v>P007</v>
      </c>
      <c r="E818" t="str" cm="1">
        <f t="array" aca="1" ref="E818" ca="1">INDEX(Warehouses[Warehouse ID],RANDBETWEEN(1,8))</f>
        <v>W008</v>
      </c>
      <c r="F818">
        <f t="shared" ca="1" si="36"/>
        <v>10</v>
      </c>
      <c r="G818">
        <f ca="1">_xlfn.XLOOKUP(Orders[[#This Row],[Product ID]],Products[Product ID],Products[Selling Price])</f>
        <v>6000</v>
      </c>
      <c r="H818" s="6">
        <f t="shared" ca="1" si="37"/>
        <v>0.04</v>
      </c>
      <c r="I818">
        <f ca="1">Orders[[#This Row],[Quantity]]*Orders[[#This Row],[Unit Price]]*(1-Orders[[#This Row],[Discount%]])</f>
        <v>57600</v>
      </c>
      <c r="J818" t="str" cm="1">
        <f t="array" aca="1" ref="J818" ca="1">INDEX(PaymentMethods[Payment Method],RANDBETWEEN(1,5))</f>
        <v>Net Banking</v>
      </c>
    </row>
    <row r="819" spans="1:10" x14ac:dyDescent="0.3">
      <c r="A819" t="str">
        <f t="shared" si="38"/>
        <v>O0818</v>
      </c>
      <c r="B819" s="6">
        <f ca="1">Orders[[#This Row],[Discount%]]</f>
        <v>0.2</v>
      </c>
      <c r="C819" t="str" cm="1">
        <f t="array" aca="1" ref="C819" ca="1">INDEX(Customers[Customer ID],RANDBETWEEN(1,200))</f>
        <v>C097</v>
      </c>
      <c r="D819" t="str" cm="1">
        <f t="array" aca="1" ref="D819" ca="1">INDEX(Products[Product ID],RANDBETWEEN(1,50))</f>
        <v>P018</v>
      </c>
      <c r="E819" t="str" cm="1">
        <f t="array" aca="1" ref="E819" ca="1">INDEX(Warehouses[Warehouse ID],RANDBETWEEN(1,8))</f>
        <v>W002</v>
      </c>
      <c r="F819">
        <f t="shared" ca="1" si="36"/>
        <v>6</v>
      </c>
      <c r="G819">
        <f ca="1">_xlfn.XLOOKUP(Orders[[#This Row],[Product ID]],Products[Product ID],Products[Selling Price])</f>
        <v>1500</v>
      </c>
      <c r="H819" s="6">
        <f t="shared" ca="1" si="37"/>
        <v>0.2</v>
      </c>
      <c r="I819">
        <f ca="1">Orders[[#This Row],[Quantity]]*Orders[[#This Row],[Unit Price]]*(1-Orders[[#This Row],[Discount%]])</f>
        <v>7200</v>
      </c>
      <c r="J819" t="str" cm="1">
        <f t="array" aca="1" ref="J819" ca="1">INDEX(PaymentMethods[Payment Method],RANDBETWEEN(1,5))</f>
        <v>Credit Card</v>
      </c>
    </row>
    <row r="820" spans="1:10" x14ac:dyDescent="0.3">
      <c r="A820" t="str">
        <f t="shared" si="38"/>
        <v>O0819</v>
      </c>
      <c r="B820" s="6">
        <f ca="1">Orders[[#This Row],[Discount%]]</f>
        <v>0.19</v>
      </c>
      <c r="C820" t="str" cm="1">
        <f t="array" aca="1" ref="C820" ca="1">INDEX(Customers[Customer ID],RANDBETWEEN(1,200))</f>
        <v>C128</v>
      </c>
      <c r="D820" t="str" cm="1">
        <f t="array" aca="1" ref="D820" ca="1">INDEX(Products[Product ID],RANDBETWEEN(1,50))</f>
        <v>P036</v>
      </c>
      <c r="E820" t="str" cm="1">
        <f t="array" aca="1" ref="E820" ca="1">INDEX(Warehouses[Warehouse ID],RANDBETWEEN(1,8))</f>
        <v>W008</v>
      </c>
      <c r="F820">
        <f t="shared" ca="1" si="36"/>
        <v>1</v>
      </c>
      <c r="G820">
        <f ca="1">_xlfn.XLOOKUP(Orders[[#This Row],[Product ID]],Products[Product ID],Products[Selling Price])</f>
        <v>450</v>
      </c>
      <c r="H820" s="6">
        <f t="shared" ca="1" si="37"/>
        <v>0.19</v>
      </c>
      <c r="I820">
        <f ca="1">Orders[[#This Row],[Quantity]]*Orders[[#This Row],[Unit Price]]*(1-Orders[[#This Row],[Discount%]])</f>
        <v>364.5</v>
      </c>
      <c r="J820" t="str" cm="1">
        <f t="array" aca="1" ref="J820" ca="1">INDEX(PaymentMethods[Payment Method],RANDBETWEEN(1,5))</f>
        <v>Debit Card</v>
      </c>
    </row>
    <row r="821" spans="1:10" x14ac:dyDescent="0.3">
      <c r="A821" t="str">
        <f t="shared" si="38"/>
        <v>O0820</v>
      </c>
      <c r="B821" s="6">
        <f ca="1">Orders[[#This Row],[Discount%]]</f>
        <v>0.12</v>
      </c>
      <c r="C821" t="str" cm="1">
        <f t="array" aca="1" ref="C821" ca="1">INDEX(Customers[Customer ID],RANDBETWEEN(1,200))</f>
        <v>C180</v>
      </c>
      <c r="D821" t="str" cm="1">
        <f t="array" aca="1" ref="D821" ca="1">INDEX(Products[Product ID],RANDBETWEEN(1,50))</f>
        <v>P010</v>
      </c>
      <c r="E821" t="str" cm="1">
        <f t="array" aca="1" ref="E821" ca="1">INDEX(Warehouses[Warehouse ID],RANDBETWEEN(1,8))</f>
        <v>W005</v>
      </c>
      <c r="F821">
        <f t="shared" ca="1" si="36"/>
        <v>9</v>
      </c>
      <c r="G821">
        <f ca="1">_xlfn.XLOOKUP(Orders[[#This Row],[Product ID]],Products[Product ID],Products[Selling Price])</f>
        <v>250</v>
      </c>
      <c r="H821" s="6">
        <f t="shared" ca="1" si="37"/>
        <v>0.12</v>
      </c>
      <c r="I821">
        <f ca="1">Orders[[#This Row],[Quantity]]*Orders[[#This Row],[Unit Price]]*(1-Orders[[#This Row],[Discount%]])</f>
        <v>1980</v>
      </c>
      <c r="J821" t="str" cm="1">
        <f t="array" aca="1" ref="J821" ca="1">INDEX(PaymentMethods[Payment Method],RANDBETWEEN(1,5))</f>
        <v>Debit Card</v>
      </c>
    </row>
    <row r="822" spans="1:10" x14ac:dyDescent="0.3">
      <c r="A822" t="str">
        <f t="shared" si="38"/>
        <v>O0821</v>
      </c>
      <c r="B822" s="6">
        <f ca="1">Orders[[#This Row],[Discount%]]</f>
        <v>0.11</v>
      </c>
      <c r="C822" t="str" cm="1">
        <f t="array" aca="1" ref="C822" ca="1">INDEX(Customers[Customer ID],RANDBETWEEN(1,200))</f>
        <v>C110</v>
      </c>
      <c r="D822" t="str" cm="1">
        <f t="array" aca="1" ref="D822" ca="1">INDEX(Products[Product ID],RANDBETWEEN(1,50))</f>
        <v>P030</v>
      </c>
      <c r="E822" t="str" cm="1">
        <f t="array" aca="1" ref="E822" ca="1">INDEX(Warehouses[Warehouse ID],RANDBETWEEN(1,8))</f>
        <v>W003</v>
      </c>
      <c r="F822">
        <f t="shared" ca="1" si="36"/>
        <v>9</v>
      </c>
      <c r="G822">
        <f ca="1">_xlfn.XLOOKUP(Orders[[#This Row],[Product ID]],Products[Product ID],Products[Selling Price])</f>
        <v>4800</v>
      </c>
      <c r="H822" s="6">
        <f t="shared" ca="1" si="37"/>
        <v>0.11</v>
      </c>
      <c r="I822">
        <f ca="1">Orders[[#This Row],[Quantity]]*Orders[[#This Row],[Unit Price]]*(1-Orders[[#This Row],[Discount%]])</f>
        <v>38448</v>
      </c>
      <c r="J822" t="str" cm="1">
        <f t="array" aca="1" ref="J822" ca="1">INDEX(PaymentMethods[Payment Method],RANDBETWEEN(1,5))</f>
        <v>Debit Card</v>
      </c>
    </row>
    <row r="823" spans="1:10" x14ac:dyDescent="0.3">
      <c r="A823" t="str">
        <f t="shared" si="38"/>
        <v>O0822</v>
      </c>
      <c r="B823" s="6">
        <f ca="1">Orders[[#This Row],[Discount%]]</f>
        <v>0.02</v>
      </c>
      <c r="C823" t="str" cm="1">
        <f t="array" aca="1" ref="C823" ca="1">INDEX(Customers[Customer ID],RANDBETWEEN(1,200))</f>
        <v>C056</v>
      </c>
      <c r="D823" t="str" cm="1">
        <f t="array" aca="1" ref="D823" ca="1">INDEX(Products[Product ID],RANDBETWEEN(1,50))</f>
        <v>P027</v>
      </c>
      <c r="E823" t="str" cm="1">
        <f t="array" aca="1" ref="E823" ca="1">INDEX(Warehouses[Warehouse ID],RANDBETWEEN(1,8))</f>
        <v>W002</v>
      </c>
      <c r="F823">
        <f t="shared" ca="1" si="36"/>
        <v>8</v>
      </c>
      <c r="G823">
        <f ca="1">_xlfn.XLOOKUP(Orders[[#This Row],[Product ID]],Products[Product ID],Products[Selling Price])</f>
        <v>4000</v>
      </c>
      <c r="H823" s="6">
        <f t="shared" ca="1" si="37"/>
        <v>0.02</v>
      </c>
      <c r="I823">
        <f ca="1">Orders[[#This Row],[Quantity]]*Orders[[#This Row],[Unit Price]]*(1-Orders[[#This Row],[Discount%]])</f>
        <v>31360</v>
      </c>
      <c r="J823" t="str" cm="1">
        <f t="array" aca="1" ref="J823" ca="1">INDEX(PaymentMethods[Payment Method],RANDBETWEEN(1,5))</f>
        <v>Net Banking</v>
      </c>
    </row>
    <row r="824" spans="1:10" x14ac:dyDescent="0.3">
      <c r="A824" t="str">
        <f t="shared" si="38"/>
        <v>O0823</v>
      </c>
      <c r="B824" s="6">
        <f ca="1">Orders[[#This Row],[Discount%]]</f>
        <v>0.12</v>
      </c>
      <c r="C824" t="str" cm="1">
        <f t="array" aca="1" ref="C824" ca="1">INDEX(Customers[Customer ID],RANDBETWEEN(1,200))</f>
        <v>C115</v>
      </c>
      <c r="D824" t="str" cm="1">
        <f t="array" aca="1" ref="D824" ca="1">INDEX(Products[Product ID],RANDBETWEEN(1,50))</f>
        <v>P040</v>
      </c>
      <c r="E824" t="str" cm="1">
        <f t="array" aca="1" ref="E824" ca="1">INDEX(Warehouses[Warehouse ID],RANDBETWEEN(1,8))</f>
        <v>W007</v>
      </c>
      <c r="F824">
        <f t="shared" ca="1" si="36"/>
        <v>6</v>
      </c>
      <c r="G824">
        <f ca="1">_xlfn.XLOOKUP(Orders[[#This Row],[Product ID]],Products[Product ID],Products[Selling Price])</f>
        <v>180</v>
      </c>
      <c r="H824" s="6">
        <f t="shared" ca="1" si="37"/>
        <v>0.12</v>
      </c>
      <c r="I824">
        <f ca="1">Orders[[#This Row],[Quantity]]*Orders[[#This Row],[Unit Price]]*(1-Orders[[#This Row],[Discount%]])</f>
        <v>950.4</v>
      </c>
      <c r="J824" t="str" cm="1">
        <f t="array" aca="1" ref="J824" ca="1">INDEX(PaymentMethods[Payment Method],RANDBETWEEN(1,5))</f>
        <v>Credit Card</v>
      </c>
    </row>
    <row r="825" spans="1:10" x14ac:dyDescent="0.3">
      <c r="A825" t="str">
        <f t="shared" si="38"/>
        <v>O0824</v>
      </c>
      <c r="B825" s="6">
        <f ca="1">Orders[[#This Row],[Discount%]]</f>
        <v>0.03</v>
      </c>
      <c r="C825" t="str" cm="1">
        <f t="array" aca="1" ref="C825" ca="1">INDEX(Customers[Customer ID],RANDBETWEEN(1,200))</f>
        <v>C028</v>
      </c>
      <c r="D825" t="str" cm="1">
        <f t="array" aca="1" ref="D825" ca="1">INDEX(Products[Product ID],RANDBETWEEN(1,50))</f>
        <v>P018</v>
      </c>
      <c r="E825" t="str" cm="1">
        <f t="array" aca="1" ref="E825" ca="1">INDEX(Warehouses[Warehouse ID],RANDBETWEEN(1,8))</f>
        <v>W005</v>
      </c>
      <c r="F825">
        <f t="shared" ca="1" si="36"/>
        <v>10</v>
      </c>
      <c r="G825">
        <f ca="1">_xlfn.XLOOKUP(Orders[[#This Row],[Product ID]],Products[Product ID],Products[Selling Price])</f>
        <v>1500</v>
      </c>
      <c r="H825" s="6">
        <f t="shared" ca="1" si="37"/>
        <v>0.03</v>
      </c>
      <c r="I825">
        <f ca="1">Orders[[#This Row],[Quantity]]*Orders[[#This Row],[Unit Price]]*(1-Orders[[#This Row],[Discount%]])</f>
        <v>14550</v>
      </c>
      <c r="J825" t="str" cm="1">
        <f t="array" aca="1" ref="J825" ca="1">INDEX(PaymentMethods[Payment Method],RANDBETWEEN(1,5))</f>
        <v>UPI</v>
      </c>
    </row>
    <row r="826" spans="1:10" x14ac:dyDescent="0.3">
      <c r="A826" t="str">
        <f t="shared" si="38"/>
        <v>O0825</v>
      </c>
      <c r="B826" s="6">
        <f ca="1">Orders[[#This Row],[Discount%]]</f>
        <v>7.0000000000000007E-2</v>
      </c>
      <c r="C826" t="str" cm="1">
        <f t="array" aca="1" ref="C826" ca="1">INDEX(Customers[Customer ID],RANDBETWEEN(1,200))</f>
        <v>C164</v>
      </c>
      <c r="D826" t="str" cm="1">
        <f t="array" aca="1" ref="D826" ca="1">INDEX(Products[Product ID],RANDBETWEEN(1,50))</f>
        <v>P024</v>
      </c>
      <c r="E826" t="str" cm="1">
        <f t="array" aca="1" ref="E826" ca="1">INDEX(Warehouses[Warehouse ID],RANDBETWEEN(1,8))</f>
        <v>W008</v>
      </c>
      <c r="F826">
        <f t="shared" ca="1" si="36"/>
        <v>9</v>
      </c>
      <c r="G826">
        <f ca="1">_xlfn.XLOOKUP(Orders[[#This Row],[Product ID]],Products[Product ID],Products[Selling Price])</f>
        <v>1700</v>
      </c>
      <c r="H826" s="6">
        <f t="shared" ca="1" si="37"/>
        <v>7.0000000000000007E-2</v>
      </c>
      <c r="I826">
        <f ca="1">Orders[[#This Row],[Quantity]]*Orders[[#This Row],[Unit Price]]*(1-Orders[[#This Row],[Discount%]])</f>
        <v>14228.999999999998</v>
      </c>
      <c r="J826" t="str" cm="1">
        <f t="array" aca="1" ref="J826" ca="1">INDEX(PaymentMethods[Payment Method],RANDBETWEEN(1,5))</f>
        <v>Credit Card</v>
      </c>
    </row>
    <row r="827" spans="1:10" x14ac:dyDescent="0.3">
      <c r="A827" t="str">
        <f t="shared" si="38"/>
        <v>O0826</v>
      </c>
      <c r="B827" s="6">
        <f ca="1">Orders[[#This Row],[Discount%]]</f>
        <v>0.1</v>
      </c>
      <c r="C827" t="str" cm="1">
        <f t="array" aca="1" ref="C827" ca="1">INDEX(Customers[Customer ID],RANDBETWEEN(1,200))</f>
        <v>C188</v>
      </c>
      <c r="D827" t="str" cm="1">
        <f t="array" aca="1" ref="D827" ca="1">INDEX(Products[Product ID],RANDBETWEEN(1,50))</f>
        <v>P030</v>
      </c>
      <c r="E827" t="str" cm="1">
        <f t="array" aca="1" ref="E827" ca="1">INDEX(Warehouses[Warehouse ID],RANDBETWEEN(1,8))</f>
        <v>W008</v>
      </c>
      <c r="F827">
        <f t="shared" ca="1" si="36"/>
        <v>2</v>
      </c>
      <c r="G827">
        <f ca="1">_xlfn.XLOOKUP(Orders[[#This Row],[Product ID]],Products[Product ID],Products[Selling Price])</f>
        <v>4800</v>
      </c>
      <c r="H827" s="6">
        <f t="shared" ca="1" si="37"/>
        <v>0.1</v>
      </c>
      <c r="I827">
        <f ca="1">Orders[[#This Row],[Quantity]]*Orders[[#This Row],[Unit Price]]*(1-Orders[[#This Row],[Discount%]])</f>
        <v>8640</v>
      </c>
      <c r="J827" t="str" cm="1">
        <f t="array" aca="1" ref="J827" ca="1">INDEX(PaymentMethods[Payment Method],RANDBETWEEN(1,5))</f>
        <v>Credit Card</v>
      </c>
    </row>
    <row r="828" spans="1:10" x14ac:dyDescent="0.3">
      <c r="A828" t="str">
        <f t="shared" si="38"/>
        <v>O0827</v>
      </c>
      <c r="B828" s="6">
        <f ca="1">Orders[[#This Row],[Discount%]]</f>
        <v>0.09</v>
      </c>
      <c r="C828" t="str" cm="1">
        <f t="array" aca="1" ref="C828" ca="1">INDEX(Customers[Customer ID],RANDBETWEEN(1,200))</f>
        <v>C017</v>
      </c>
      <c r="D828" t="str" cm="1">
        <f t="array" aca="1" ref="D828" ca="1">INDEX(Products[Product ID],RANDBETWEEN(1,50))</f>
        <v>P017</v>
      </c>
      <c r="E828" t="str" cm="1">
        <f t="array" aca="1" ref="E828" ca="1">INDEX(Warehouses[Warehouse ID],RANDBETWEEN(1,8))</f>
        <v>W004</v>
      </c>
      <c r="F828">
        <f t="shared" ca="1" si="36"/>
        <v>8</v>
      </c>
      <c r="G828">
        <f ca="1">_xlfn.XLOOKUP(Orders[[#This Row],[Product ID]],Products[Product ID],Products[Selling Price])</f>
        <v>650</v>
      </c>
      <c r="H828" s="6">
        <f t="shared" ca="1" si="37"/>
        <v>0.09</v>
      </c>
      <c r="I828">
        <f ca="1">Orders[[#This Row],[Quantity]]*Orders[[#This Row],[Unit Price]]*(1-Orders[[#This Row],[Discount%]])</f>
        <v>4732</v>
      </c>
      <c r="J828" t="str" cm="1">
        <f t="array" aca="1" ref="J828" ca="1">INDEX(PaymentMethods[Payment Method],RANDBETWEEN(1,5))</f>
        <v>Net Banking</v>
      </c>
    </row>
    <row r="829" spans="1:10" x14ac:dyDescent="0.3">
      <c r="A829" t="str">
        <f t="shared" si="38"/>
        <v>O0828</v>
      </c>
      <c r="B829" s="6">
        <f ca="1">Orders[[#This Row],[Discount%]]</f>
        <v>0</v>
      </c>
      <c r="C829" t="str" cm="1">
        <f t="array" aca="1" ref="C829" ca="1">INDEX(Customers[Customer ID],RANDBETWEEN(1,200))</f>
        <v>C054</v>
      </c>
      <c r="D829" t="str" cm="1">
        <f t="array" aca="1" ref="D829" ca="1">INDEX(Products[Product ID],RANDBETWEEN(1,50))</f>
        <v>P047</v>
      </c>
      <c r="E829" t="str" cm="1">
        <f t="array" aca="1" ref="E829" ca="1">INDEX(Warehouses[Warehouse ID],RANDBETWEEN(1,8))</f>
        <v>W001</v>
      </c>
      <c r="F829">
        <f t="shared" ca="1" si="36"/>
        <v>8</v>
      </c>
      <c r="G829">
        <f ca="1">_xlfn.XLOOKUP(Orders[[#This Row],[Product ID]],Products[Product ID],Products[Selling Price])</f>
        <v>6200</v>
      </c>
      <c r="H829" s="6">
        <f t="shared" ca="1" si="37"/>
        <v>0</v>
      </c>
      <c r="I829">
        <f ca="1">Orders[[#This Row],[Quantity]]*Orders[[#This Row],[Unit Price]]*(1-Orders[[#This Row],[Discount%]])</f>
        <v>49600</v>
      </c>
      <c r="J829" t="str" cm="1">
        <f t="array" aca="1" ref="J829" ca="1">INDEX(PaymentMethods[Payment Method],RANDBETWEEN(1,5))</f>
        <v>Cash</v>
      </c>
    </row>
    <row r="830" spans="1:10" x14ac:dyDescent="0.3">
      <c r="A830" t="str">
        <f t="shared" si="38"/>
        <v>O0829</v>
      </c>
      <c r="B830" s="6">
        <f ca="1">Orders[[#This Row],[Discount%]]</f>
        <v>0.18</v>
      </c>
      <c r="C830" t="str" cm="1">
        <f t="array" aca="1" ref="C830" ca="1">INDEX(Customers[Customer ID],RANDBETWEEN(1,200))</f>
        <v>C129</v>
      </c>
      <c r="D830" t="str" cm="1">
        <f t="array" aca="1" ref="D830" ca="1">INDEX(Products[Product ID],RANDBETWEEN(1,50))</f>
        <v>P014</v>
      </c>
      <c r="E830" t="str" cm="1">
        <f t="array" aca="1" ref="E830" ca="1">INDEX(Warehouses[Warehouse ID],RANDBETWEEN(1,8))</f>
        <v>W005</v>
      </c>
      <c r="F830">
        <f t="shared" ca="1" si="36"/>
        <v>3</v>
      </c>
      <c r="G830">
        <f ca="1">_xlfn.XLOOKUP(Orders[[#This Row],[Product ID]],Products[Product ID],Products[Selling Price])</f>
        <v>800</v>
      </c>
      <c r="H830" s="6">
        <f t="shared" ca="1" si="37"/>
        <v>0.18</v>
      </c>
      <c r="I830">
        <f ca="1">Orders[[#This Row],[Quantity]]*Orders[[#This Row],[Unit Price]]*(1-Orders[[#This Row],[Discount%]])</f>
        <v>1968.0000000000002</v>
      </c>
      <c r="J830" t="str" cm="1">
        <f t="array" aca="1" ref="J830" ca="1">INDEX(PaymentMethods[Payment Method],RANDBETWEEN(1,5))</f>
        <v>Net Banking</v>
      </c>
    </row>
    <row r="831" spans="1:10" x14ac:dyDescent="0.3">
      <c r="A831" t="str">
        <f t="shared" si="38"/>
        <v>O0830</v>
      </c>
      <c r="B831" s="6">
        <f ca="1">Orders[[#This Row],[Discount%]]</f>
        <v>0.09</v>
      </c>
      <c r="C831" t="str" cm="1">
        <f t="array" aca="1" ref="C831" ca="1">INDEX(Customers[Customer ID],RANDBETWEEN(1,200))</f>
        <v>C150</v>
      </c>
      <c r="D831" t="str" cm="1">
        <f t="array" aca="1" ref="D831" ca="1">INDEX(Products[Product ID],RANDBETWEEN(1,50))</f>
        <v>P033</v>
      </c>
      <c r="E831" t="str" cm="1">
        <f t="array" aca="1" ref="E831" ca="1">INDEX(Warehouses[Warehouse ID],RANDBETWEEN(1,8))</f>
        <v>W008</v>
      </c>
      <c r="F831">
        <f t="shared" ca="1" si="36"/>
        <v>6</v>
      </c>
      <c r="G831">
        <f ca="1">_xlfn.XLOOKUP(Orders[[#This Row],[Product ID]],Products[Product ID],Products[Selling Price])</f>
        <v>180</v>
      </c>
      <c r="H831" s="6">
        <f t="shared" ca="1" si="37"/>
        <v>0.09</v>
      </c>
      <c r="I831">
        <f ca="1">Orders[[#This Row],[Quantity]]*Orders[[#This Row],[Unit Price]]*(1-Orders[[#This Row],[Discount%]])</f>
        <v>982.80000000000007</v>
      </c>
      <c r="J831" t="str" cm="1">
        <f t="array" aca="1" ref="J831" ca="1">INDEX(PaymentMethods[Payment Method],RANDBETWEEN(1,5))</f>
        <v>Net Banking</v>
      </c>
    </row>
    <row r="832" spans="1:10" x14ac:dyDescent="0.3">
      <c r="A832" t="str">
        <f t="shared" si="38"/>
        <v>O0831</v>
      </c>
      <c r="B832" s="6">
        <f ca="1">Orders[[#This Row],[Discount%]]</f>
        <v>0.17</v>
      </c>
      <c r="C832" t="str" cm="1">
        <f t="array" aca="1" ref="C832" ca="1">INDEX(Customers[Customer ID],RANDBETWEEN(1,200))</f>
        <v>C022</v>
      </c>
      <c r="D832" t="str" cm="1">
        <f t="array" aca="1" ref="D832" ca="1">INDEX(Products[Product ID],RANDBETWEEN(1,50))</f>
        <v>P039</v>
      </c>
      <c r="E832" t="str" cm="1">
        <f t="array" aca="1" ref="E832" ca="1">INDEX(Warehouses[Warehouse ID],RANDBETWEEN(1,8))</f>
        <v>W002</v>
      </c>
      <c r="F832">
        <f t="shared" ca="1" si="36"/>
        <v>9</v>
      </c>
      <c r="G832">
        <f ca="1">_xlfn.XLOOKUP(Orders[[#This Row],[Product ID]],Products[Product ID],Products[Selling Price])</f>
        <v>250</v>
      </c>
      <c r="H832" s="6">
        <f t="shared" ca="1" si="37"/>
        <v>0.17</v>
      </c>
      <c r="I832">
        <f ca="1">Orders[[#This Row],[Quantity]]*Orders[[#This Row],[Unit Price]]*(1-Orders[[#This Row],[Discount%]])</f>
        <v>1867.5</v>
      </c>
      <c r="J832" t="str" cm="1">
        <f t="array" aca="1" ref="J832" ca="1">INDEX(PaymentMethods[Payment Method],RANDBETWEEN(1,5))</f>
        <v>Debit Card</v>
      </c>
    </row>
    <row r="833" spans="1:10" x14ac:dyDescent="0.3">
      <c r="A833" t="str">
        <f t="shared" si="38"/>
        <v>O0832</v>
      </c>
      <c r="B833" s="6">
        <f ca="1">Orders[[#This Row],[Discount%]]</f>
        <v>0.09</v>
      </c>
      <c r="C833" t="str" cm="1">
        <f t="array" aca="1" ref="C833" ca="1">INDEX(Customers[Customer ID],RANDBETWEEN(1,200))</f>
        <v>C034</v>
      </c>
      <c r="D833" t="str" cm="1">
        <f t="array" aca="1" ref="D833" ca="1">INDEX(Products[Product ID],RANDBETWEEN(1,50))</f>
        <v>P028</v>
      </c>
      <c r="E833" t="str" cm="1">
        <f t="array" aca="1" ref="E833" ca="1">INDEX(Warehouses[Warehouse ID],RANDBETWEEN(1,8))</f>
        <v>W008</v>
      </c>
      <c r="F833">
        <f t="shared" ca="1" si="36"/>
        <v>10</v>
      </c>
      <c r="G833">
        <f ca="1">_xlfn.XLOOKUP(Orders[[#This Row],[Product ID]],Products[Product ID],Products[Selling Price])</f>
        <v>16500</v>
      </c>
      <c r="H833" s="6">
        <f t="shared" ca="1" si="37"/>
        <v>0.09</v>
      </c>
      <c r="I833">
        <f ca="1">Orders[[#This Row],[Quantity]]*Orders[[#This Row],[Unit Price]]*(1-Orders[[#This Row],[Discount%]])</f>
        <v>150150</v>
      </c>
      <c r="J833" t="str" cm="1">
        <f t="array" aca="1" ref="J833" ca="1">INDEX(PaymentMethods[Payment Method],RANDBETWEEN(1,5))</f>
        <v>Net Banking</v>
      </c>
    </row>
    <row r="834" spans="1:10" x14ac:dyDescent="0.3">
      <c r="A834" t="str">
        <f t="shared" si="38"/>
        <v>O0833</v>
      </c>
      <c r="B834" s="6">
        <f ca="1">Orders[[#This Row],[Discount%]]</f>
        <v>0.11</v>
      </c>
      <c r="C834" t="str" cm="1">
        <f t="array" aca="1" ref="C834" ca="1">INDEX(Customers[Customer ID],RANDBETWEEN(1,200))</f>
        <v>C193</v>
      </c>
      <c r="D834" t="str" cm="1">
        <f t="array" aca="1" ref="D834" ca="1">INDEX(Products[Product ID],RANDBETWEEN(1,50))</f>
        <v>P030</v>
      </c>
      <c r="E834" t="str" cm="1">
        <f t="array" aca="1" ref="E834" ca="1">INDEX(Warehouses[Warehouse ID],RANDBETWEEN(1,8))</f>
        <v>W007</v>
      </c>
      <c r="F834">
        <f t="shared" ref="F834:F897" ca="1" si="39">RANDBETWEEN(1,10)</f>
        <v>9</v>
      </c>
      <c r="G834">
        <f ca="1">_xlfn.XLOOKUP(Orders[[#This Row],[Product ID]],Products[Product ID],Products[Selling Price])</f>
        <v>4800</v>
      </c>
      <c r="H834" s="6">
        <f t="shared" ref="H834:H897" ca="1" si="40">RANDBETWEEN(0,20)/100</f>
        <v>0.11</v>
      </c>
      <c r="I834">
        <f ca="1">Orders[[#This Row],[Quantity]]*Orders[[#This Row],[Unit Price]]*(1-Orders[[#This Row],[Discount%]])</f>
        <v>38448</v>
      </c>
      <c r="J834" t="str" cm="1">
        <f t="array" aca="1" ref="J834" ca="1">INDEX(PaymentMethods[Payment Method],RANDBETWEEN(1,5))</f>
        <v>Net Banking</v>
      </c>
    </row>
    <row r="835" spans="1:10" x14ac:dyDescent="0.3">
      <c r="A835" t="str">
        <f t="shared" ref="A835:A898" si="41">"O"&amp;TEXT(ROW()-1,"0000")</f>
        <v>O0834</v>
      </c>
      <c r="B835" s="6">
        <f ca="1">Orders[[#This Row],[Discount%]]</f>
        <v>0</v>
      </c>
      <c r="C835" t="str" cm="1">
        <f t="array" aca="1" ref="C835" ca="1">INDEX(Customers[Customer ID],RANDBETWEEN(1,200))</f>
        <v>C168</v>
      </c>
      <c r="D835" t="str" cm="1">
        <f t="array" aca="1" ref="D835" ca="1">INDEX(Products[Product ID],RANDBETWEEN(1,50))</f>
        <v>P008</v>
      </c>
      <c r="E835" t="str" cm="1">
        <f t="array" aca="1" ref="E835" ca="1">INDEX(Warehouses[Warehouse ID],RANDBETWEEN(1,8))</f>
        <v>W004</v>
      </c>
      <c r="F835">
        <f t="shared" ca="1" si="39"/>
        <v>7</v>
      </c>
      <c r="G835">
        <f ca="1">_xlfn.XLOOKUP(Orders[[#This Row],[Product ID]],Products[Product ID],Products[Selling Price])</f>
        <v>4200</v>
      </c>
      <c r="H835" s="6">
        <f t="shared" ca="1" si="40"/>
        <v>0</v>
      </c>
      <c r="I835">
        <f ca="1">Orders[[#This Row],[Quantity]]*Orders[[#This Row],[Unit Price]]*(1-Orders[[#This Row],[Discount%]])</f>
        <v>29400</v>
      </c>
      <c r="J835" t="str" cm="1">
        <f t="array" aca="1" ref="J835" ca="1">INDEX(PaymentMethods[Payment Method],RANDBETWEEN(1,5))</f>
        <v>Net Banking</v>
      </c>
    </row>
    <row r="836" spans="1:10" x14ac:dyDescent="0.3">
      <c r="A836" t="str">
        <f t="shared" si="41"/>
        <v>O0835</v>
      </c>
      <c r="B836" s="6">
        <f ca="1">Orders[[#This Row],[Discount%]]</f>
        <v>0.13</v>
      </c>
      <c r="C836" t="str" cm="1">
        <f t="array" aca="1" ref="C836" ca="1">INDEX(Customers[Customer ID],RANDBETWEEN(1,200))</f>
        <v>C095</v>
      </c>
      <c r="D836" t="str" cm="1">
        <f t="array" aca="1" ref="D836" ca="1">INDEX(Products[Product ID],RANDBETWEEN(1,50))</f>
        <v>P048</v>
      </c>
      <c r="E836" t="str" cm="1">
        <f t="array" aca="1" ref="E836" ca="1">INDEX(Warehouses[Warehouse ID],RANDBETWEEN(1,8))</f>
        <v>W006</v>
      </c>
      <c r="F836">
        <f t="shared" ca="1" si="39"/>
        <v>2</v>
      </c>
      <c r="G836">
        <f ca="1">_xlfn.XLOOKUP(Orders[[#This Row],[Product ID]],Products[Product ID],Products[Selling Price])</f>
        <v>1200</v>
      </c>
      <c r="H836" s="6">
        <f t="shared" ca="1" si="40"/>
        <v>0.13</v>
      </c>
      <c r="I836">
        <f ca="1">Orders[[#This Row],[Quantity]]*Orders[[#This Row],[Unit Price]]*(1-Orders[[#This Row],[Discount%]])</f>
        <v>2088</v>
      </c>
      <c r="J836" t="str" cm="1">
        <f t="array" aca="1" ref="J836" ca="1">INDEX(PaymentMethods[Payment Method],RANDBETWEEN(1,5))</f>
        <v>UPI</v>
      </c>
    </row>
    <row r="837" spans="1:10" x14ac:dyDescent="0.3">
      <c r="A837" t="str">
        <f t="shared" si="41"/>
        <v>O0836</v>
      </c>
      <c r="B837" s="6">
        <f ca="1">Orders[[#This Row],[Discount%]]</f>
        <v>0.11</v>
      </c>
      <c r="C837" t="str" cm="1">
        <f t="array" aca="1" ref="C837" ca="1">INDEX(Customers[Customer ID],RANDBETWEEN(1,200))</f>
        <v>C138</v>
      </c>
      <c r="D837" t="str" cm="1">
        <f t="array" aca="1" ref="D837" ca="1">INDEX(Products[Product ID],RANDBETWEEN(1,50))</f>
        <v>P016</v>
      </c>
      <c r="E837" t="str" cm="1">
        <f t="array" aca="1" ref="E837" ca="1">INDEX(Warehouses[Warehouse ID],RANDBETWEEN(1,8))</f>
        <v>W007</v>
      </c>
      <c r="F837">
        <f t="shared" ca="1" si="39"/>
        <v>1</v>
      </c>
      <c r="G837">
        <f ca="1">_xlfn.XLOOKUP(Orders[[#This Row],[Product ID]],Products[Product ID],Products[Selling Price])</f>
        <v>2500</v>
      </c>
      <c r="H837" s="6">
        <f t="shared" ca="1" si="40"/>
        <v>0.11</v>
      </c>
      <c r="I837">
        <f ca="1">Orders[[#This Row],[Quantity]]*Orders[[#This Row],[Unit Price]]*(1-Orders[[#This Row],[Discount%]])</f>
        <v>2225</v>
      </c>
      <c r="J837" t="str" cm="1">
        <f t="array" aca="1" ref="J837" ca="1">INDEX(PaymentMethods[Payment Method],RANDBETWEEN(1,5))</f>
        <v>Cash</v>
      </c>
    </row>
    <row r="838" spans="1:10" x14ac:dyDescent="0.3">
      <c r="A838" t="str">
        <f t="shared" si="41"/>
        <v>O0837</v>
      </c>
      <c r="B838" s="6">
        <f ca="1">Orders[[#This Row],[Discount%]]</f>
        <v>0.17</v>
      </c>
      <c r="C838" t="str" cm="1">
        <f t="array" aca="1" ref="C838" ca="1">INDEX(Customers[Customer ID],RANDBETWEEN(1,200))</f>
        <v>C087</v>
      </c>
      <c r="D838" t="str" cm="1">
        <f t="array" aca="1" ref="D838" ca="1">INDEX(Products[Product ID],RANDBETWEEN(1,50))</f>
        <v>P025</v>
      </c>
      <c r="E838" t="str" cm="1">
        <f t="array" aca="1" ref="E838" ca="1">INDEX(Warehouses[Warehouse ID],RANDBETWEEN(1,8))</f>
        <v>W007</v>
      </c>
      <c r="F838">
        <f t="shared" ca="1" si="39"/>
        <v>2</v>
      </c>
      <c r="G838">
        <f ca="1">_xlfn.XLOOKUP(Orders[[#This Row],[Product ID]],Products[Product ID],Products[Selling Price])</f>
        <v>1800</v>
      </c>
      <c r="H838" s="6">
        <f t="shared" ca="1" si="40"/>
        <v>0.17</v>
      </c>
      <c r="I838">
        <f ca="1">Orders[[#This Row],[Quantity]]*Orders[[#This Row],[Unit Price]]*(1-Orders[[#This Row],[Discount%]])</f>
        <v>2988</v>
      </c>
      <c r="J838" t="str" cm="1">
        <f t="array" aca="1" ref="J838" ca="1">INDEX(PaymentMethods[Payment Method],RANDBETWEEN(1,5))</f>
        <v>Net Banking</v>
      </c>
    </row>
    <row r="839" spans="1:10" x14ac:dyDescent="0.3">
      <c r="A839" t="str">
        <f t="shared" si="41"/>
        <v>O0838</v>
      </c>
      <c r="B839" s="6">
        <f ca="1">Orders[[#This Row],[Discount%]]</f>
        <v>0.04</v>
      </c>
      <c r="C839" t="str" cm="1">
        <f t="array" aca="1" ref="C839" ca="1">INDEX(Customers[Customer ID],RANDBETWEEN(1,200))</f>
        <v>C174</v>
      </c>
      <c r="D839" t="str" cm="1">
        <f t="array" aca="1" ref="D839" ca="1">INDEX(Products[Product ID],RANDBETWEEN(1,50))</f>
        <v>P007</v>
      </c>
      <c r="E839" t="str" cm="1">
        <f t="array" aca="1" ref="E839" ca="1">INDEX(Warehouses[Warehouse ID],RANDBETWEEN(1,8))</f>
        <v>W002</v>
      </c>
      <c r="F839">
        <f t="shared" ca="1" si="39"/>
        <v>4</v>
      </c>
      <c r="G839">
        <f ca="1">_xlfn.XLOOKUP(Orders[[#This Row],[Product ID]],Products[Product ID],Products[Selling Price])</f>
        <v>6000</v>
      </c>
      <c r="H839" s="6">
        <f t="shared" ca="1" si="40"/>
        <v>0.04</v>
      </c>
      <c r="I839">
        <f ca="1">Orders[[#This Row],[Quantity]]*Orders[[#This Row],[Unit Price]]*(1-Orders[[#This Row],[Discount%]])</f>
        <v>23040</v>
      </c>
      <c r="J839" t="str" cm="1">
        <f t="array" aca="1" ref="J839" ca="1">INDEX(PaymentMethods[Payment Method],RANDBETWEEN(1,5))</f>
        <v>UPI</v>
      </c>
    </row>
    <row r="840" spans="1:10" x14ac:dyDescent="0.3">
      <c r="A840" t="str">
        <f t="shared" si="41"/>
        <v>O0839</v>
      </c>
      <c r="B840" s="6">
        <f ca="1">Orders[[#This Row],[Discount%]]</f>
        <v>0.1</v>
      </c>
      <c r="C840" t="str" cm="1">
        <f t="array" aca="1" ref="C840" ca="1">INDEX(Customers[Customer ID],RANDBETWEEN(1,200))</f>
        <v>C114</v>
      </c>
      <c r="D840" t="str" cm="1">
        <f t="array" aca="1" ref="D840" ca="1">INDEX(Products[Product ID],RANDBETWEEN(1,50))</f>
        <v>P043</v>
      </c>
      <c r="E840" t="str" cm="1">
        <f t="array" aca="1" ref="E840" ca="1">INDEX(Warehouses[Warehouse ID],RANDBETWEEN(1,8))</f>
        <v>W001</v>
      </c>
      <c r="F840">
        <f t="shared" ca="1" si="39"/>
        <v>2</v>
      </c>
      <c r="G840">
        <f ca="1">_xlfn.XLOOKUP(Orders[[#This Row],[Product ID]],Products[Product ID],Products[Selling Price])</f>
        <v>24500</v>
      </c>
      <c r="H840" s="6">
        <f t="shared" ca="1" si="40"/>
        <v>0.1</v>
      </c>
      <c r="I840">
        <f ca="1">Orders[[#This Row],[Quantity]]*Orders[[#This Row],[Unit Price]]*(1-Orders[[#This Row],[Discount%]])</f>
        <v>44100</v>
      </c>
      <c r="J840" t="str" cm="1">
        <f t="array" aca="1" ref="J840" ca="1">INDEX(PaymentMethods[Payment Method],RANDBETWEEN(1,5))</f>
        <v>Cash</v>
      </c>
    </row>
    <row r="841" spans="1:10" x14ac:dyDescent="0.3">
      <c r="A841" t="str">
        <f t="shared" si="41"/>
        <v>O0840</v>
      </c>
      <c r="B841" s="6">
        <f ca="1">Orders[[#This Row],[Discount%]]</f>
        <v>0.14000000000000001</v>
      </c>
      <c r="C841" t="str" cm="1">
        <f t="array" aca="1" ref="C841" ca="1">INDEX(Customers[Customer ID],RANDBETWEEN(1,200))</f>
        <v>C175</v>
      </c>
      <c r="D841" t="str" cm="1">
        <f t="array" aca="1" ref="D841" ca="1">INDEX(Products[Product ID],RANDBETWEEN(1,50))</f>
        <v>P001</v>
      </c>
      <c r="E841" t="str" cm="1">
        <f t="array" aca="1" ref="E841" ca="1">INDEX(Warehouses[Warehouse ID],RANDBETWEEN(1,8))</f>
        <v>W005</v>
      </c>
      <c r="F841">
        <f t="shared" ca="1" si="39"/>
        <v>1</v>
      </c>
      <c r="G841">
        <f ca="1">_xlfn.XLOOKUP(Orders[[#This Row],[Product ID]],Products[Product ID],Products[Selling Price])</f>
        <v>42000</v>
      </c>
      <c r="H841" s="6">
        <f t="shared" ca="1" si="40"/>
        <v>0.14000000000000001</v>
      </c>
      <c r="I841">
        <f ca="1">Orders[[#This Row],[Quantity]]*Orders[[#This Row],[Unit Price]]*(1-Orders[[#This Row],[Discount%]])</f>
        <v>36120</v>
      </c>
      <c r="J841" t="str" cm="1">
        <f t="array" aca="1" ref="J841" ca="1">INDEX(PaymentMethods[Payment Method],RANDBETWEEN(1,5))</f>
        <v>Net Banking</v>
      </c>
    </row>
    <row r="842" spans="1:10" x14ac:dyDescent="0.3">
      <c r="A842" t="str">
        <f t="shared" si="41"/>
        <v>O0841</v>
      </c>
      <c r="B842" s="6">
        <f ca="1">Orders[[#This Row],[Discount%]]</f>
        <v>0.01</v>
      </c>
      <c r="C842" t="str" cm="1">
        <f t="array" aca="1" ref="C842" ca="1">INDEX(Customers[Customer ID],RANDBETWEEN(1,200))</f>
        <v>C028</v>
      </c>
      <c r="D842" t="str" cm="1">
        <f t="array" aca="1" ref="D842" ca="1">INDEX(Products[Product ID],RANDBETWEEN(1,50))</f>
        <v>P014</v>
      </c>
      <c r="E842" t="str" cm="1">
        <f t="array" aca="1" ref="E842" ca="1">INDEX(Warehouses[Warehouse ID],RANDBETWEEN(1,8))</f>
        <v>W003</v>
      </c>
      <c r="F842">
        <f t="shared" ca="1" si="39"/>
        <v>10</v>
      </c>
      <c r="G842">
        <f ca="1">_xlfn.XLOOKUP(Orders[[#This Row],[Product ID]],Products[Product ID],Products[Selling Price])</f>
        <v>800</v>
      </c>
      <c r="H842" s="6">
        <f t="shared" ca="1" si="40"/>
        <v>0.01</v>
      </c>
      <c r="I842">
        <f ca="1">Orders[[#This Row],[Quantity]]*Orders[[#This Row],[Unit Price]]*(1-Orders[[#This Row],[Discount%]])</f>
        <v>7920</v>
      </c>
      <c r="J842" t="str" cm="1">
        <f t="array" aca="1" ref="J842" ca="1">INDEX(PaymentMethods[Payment Method],RANDBETWEEN(1,5))</f>
        <v>Cash</v>
      </c>
    </row>
    <row r="843" spans="1:10" x14ac:dyDescent="0.3">
      <c r="A843" t="str">
        <f t="shared" si="41"/>
        <v>O0842</v>
      </c>
      <c r="B843" s="6">
        <f ca="1">Orders[[#This Row],[Discount%]]</f>
        <v>0.1</v>
      </c>
      <c r="C843" t="str" cm="1">
        <f t="array" aca="1" ref="C843" ca="1">INDEX(Customers[Customer ID],RANDBETWEEN(1,200))</f>
        <v>C006</v>
      </c>
      <c r="D843" t="str" cm="1">
        <f t="array" aca="1" ref="D843" ca="1">INDEX(Products[Product ID],RANDBETWEEN(1,50))</f>
        <v>P021</v>
      </c>
      <c r="E843" t="str" cm="1">
        <f t="array" aca="1" ref="E843" ca="1">INDEX(Warehouses[Warehouse ID],RANDBETWEEN(1,8))</f>
        <v>W006</v>
      </c>
      <c r="F843">
        <f t="shared" ca="1" si="39"/>
        <v>9</v>
      </c>
      <c r="G843">
        <f ca="1">_xlfn.XLOOKUP(Orders[[#This Row],[Product ID]],Products[Product ID],Products[Selling Price])</f>
        <v>22000</v>
      </c>
      <c r="H843" s="6">
        <f t="shared" ca="1" si="40"/>
        <v>0.1</v>
      </c>
      <c r="I843">
        <f ca="1">Orders[[#This Row],[Quantity]]*Orders[[#This Row],[Unit Price]]*(1-Orders[[#This Row],[Discount%]])</f>
        <v>178200</v>
      </c>
      <c r="J843" t="str" cm="1">
        <f t="array" aca="1" ref="J843" ca="1">INDEX(PaymentMethods[Payment Method],RANDBETWEEN(1,5))</f>
        <v>Net Banking</v>
      </c>
    </row>
    <row r="844" spans="1:10" x14ac:dyDescent="0.3">
      <c r="A844" t="str">
        <f t="shared" si="41"/>
        <v>O0843</v>
      </c>
      <c r="B844" s="6">
        <f ca="1">Orders[[#This Row],[Discount%]]</f>
        <v>0.18</v>
      </c>
      <c r="C844" t="str" cm="1">
        <f t="array" aca="1" ref="C844" ca="1">INDEX(Customers[Customer ID],RANDBETWEEN(1,200))</f>
        <v>C104</v>
      </c>
      <c r="D844" t="str" cm="1">
        <f t="array" aca="1" ref="D844" ca="1">INDEX(Products[Product ID],RANDBETWEEN(1,50))</f>
        <v>P047</v>
      </c>
      <c r="E844" t="str" cm="1">
        <f t="array" aca="1" ref="E844" ca="1">INDEX(Warehouses[Warehouse ID],RANDBETWEEN(1,8))</f>
        <v>W001</v>
      </c>
      <c r="F844">
        <f t="shared" ca="1" si="39"/>
        <v>3</v>
      </c>
      <c r="G844">
        <f ca="1">_xlfn.XLOOKUP(Orders[[#This Row],[Product ID]],Products[Product ID],Products[Selling Price])</f>
        <v>6200</v>
      </c>
      <c r="H844" s="6">
        <f t="shared" ca="1" si="40"/>
        <v>0.18</v>
      </c>
      <c r="I844">
        <f ca="1">Orders[[#This Row],[Quantity]]*Orders[[#This Row],[Unit Price]]*(1-Orders[[#This Row],[Discount%]])</f>
        <v>15252.000000000002</v>
      </c>
      <c r="J844" t="str" cm="1">
        <f t="array" aca="1" ref="J844" ca="1">INDEX(PaymentMethods[Payment Method],RANDBETWEEN(1,5))</f>
        <v>Cash</v>
      </c>
    </row>
    <row r="845" spans="1:10" x14ac:dyDescent="0.3">
      <c r="A845" t="str">
        <f t="shared" si="41"/>
        <v>O0844</v>
      </c>
      <c r="B845" s="6">
        <f ca="1">Orders[[#This Row],[Discount%]]</f>
        <v>0.02</v>
      </c>
      <c r="C845" t="str" cm="1">
        <f t="array" aca="1" ref="C845" ca="1">INDEX(Customers[Customer ID],RANDBETWEEN(1,200))</f>
        <v>C199</v>
      </c>
      <c r="D845" t="str" cm="1">
        <f t="array" aca="1" ref="D845" ca="1">INDEX(Products[Product ID],RANDBETWEEN(1,50))</f>
        <v>P013</v>
      </c>
      <c r="E845" t="str" cm="1">
        <f t="array" aca="1" ref="E845" ca="1">INDEX(Warehouses[Warehouse ID],RANDBETWEEN(1,8))</f>
        <v>W004</v>
      </c>
      <c r="F845">
        <f t="shared" ca="1" si="39"/>
        <v>3</v>
      </c>
      <c r="G845">
        <f ca="1">_xlfn.XLOOKUP(Orders[[#This Row],[Product ID]],Products[Product ID],Products[Selling Price])</f>
        <v>25</v>
      </c>
      <c r="H845" s="6">
        <f t="shared" ca="1" si="40"/>
        <v>0.02</v>
      </c>
      <c r="I845">
        <f ca="1">Orders[[#This Row],[Quantity]]*Orders[[#This Row],[Unit Price]]*(1-Orders[[#This Row],[Discount%]])</f>
        <v>73.5</v>
      </c>
      <c r="J845" t="str" cm="1">
        <f t="array" aca="1" ref="J845" ca="1">INDEX(PaymentMethods[Payment Method],RANDBETWEEN(1,5))</f>
        <v>Credit Card</v>
      </c>
    </row>
    <row r="846" spans="1:10" x14ac:dyDescent="0.3">
      <c r="A846" t="str">
        <f t="shared" si="41"/>
        <v>O0845</v>
      </c>
      <c r="B846" s="6">
        <f ca="1">Orders[[#This Row],[Discount%]]</f>
        <v>0.1</v>
      </c>
      <c r="C846" t="str" cm="1">
        <f t="array" aca="1" ref="C846" ca="1">INDEX(Customers[Customer ID],RANDBETWEEN(1,200))</f>
        <v>C179</v>
      </c>
      <c r="D846" t="str" cm="1">
        <f t="array" aca="1" ref="D846" ca="1">INDEX(Products[Product ID],RANDBETWEEN(1,50))</f>
        <v>P043</v>
      </c>
      <c r="E846" t="str" cm="1">
        <f t="array" aca="1" ref="E846" ca="1">INDEX(Warehouses[Warehouse ID],RANDBETWEEN(1,8))</f>
        <v>W004</v>
      </c>
      <c r="F846">
        <f t="shared" ca="1" si="39"/>
        <v>7</v>
      </c>
      <c r="G846">
        <f ca="1">_xlfn.XLOOKUP(Orders[[#This Row],[Product ID]],Products[Product ID],Products[Selling Price])</f>
        <v>24500</v>
      </c>
      <c r="H846" s="6">
        <f t="shared" ca="1" si="40"/>
        <v>0.1</v>
      </c>
      <c r="I846">
        <f ca="1">Orders[[#This Row],[Quantity]]*Orders[[#This Row],[Unit Price]]*(1-Orders[[#This Row],[Discount%]])</f>
        <v>154350</v>
      </c>
      <c r="J846" t="str" cm="1">
        <f t="array" aca="1" ref="J846" ca="1">INDEX(PaymentMethods[Payment Method],RANDBETWEEN(1,5))</f>
        <v>Net Banking</v>
      </c>
    </row>
    <row r="847" spans="1:10" x14ac:dyDescent="0.3">
      <c r="A847" t="str">
        <f t="shared" si="41"/>
        <v>O0846</v>
      </c>
      <c r="B847" s="6">
        <f ca="1">Orders[[#This Row],[Discount%]]</f>
        <v>0.2</v>
      </c>
      <c r="C847" t="str" cm="1">
        <f t="array" aca="1" ref="C847" ca="1">INDEX(Customers[Customer ID],RANDBETWEEN(1,200))</f>
        <v>C187</v>
      </c>
      <c r="D847" t="str" cm="1">
        <f t="array" aca="1" ref="D847" ca="1">INDEX(Products[Product ID],RANDBETWEEN(1,50))</f>
        <v>P042</v>
      </c>
      <c r="E847" t="str" cm="1">
        <f t="array" aca="1" ref="E847" ca="1">INDEX(Warehouses[Warehouse ID],RANDBETWEEN(1,8))</f>
        <v>W002</v>
      </c>
      <c r="F847">
        <f t="shared" ca="1" si="39"/>
        <v>5</v>
      </c>
      <c r="G847">
        <f ca="1">_xlfn.XLOOKUP(Orders[[#This Row],[Product ID]],Products[Product ID],Products[Selling Price])</f>
        <v>29000</v>
      </c>
      <c r="H847" s="6">
        <f t="shared" ca="1" si="40"/>
        <v>0.2</v>
      </c>
      <c r="I847">
        <f ca="1">Orders[[#This Row],[Quantity]]*Orders[[#This Row],[Unit Price]]*(1-Orders[[#This Row],[Discount%]])</f>
        <v>116000</v>
      </c>
      <c r="J847" t="str" cm="1">
        <f t="array" aca="1" ref="J847" ca="1">INDEX(PaymentMethods[Payment Method],RANDBETWEEN(1,5))</f>
        <v>Net Banking</v>
      </c>
    </row>
    <row r="848" spans="1:10" x14ac:dyDescent="0.3">
      <c r="A848" t="str">
        <f t="shared" si="41"/>
        <v>O0847</v>
      </c>
      <c r="B848" s="6">
        <f ca="1">Orders[[#This Row],[Discount%]]</f>
        <v>0.03</v>
      </c>
      <c r="C848" t="str" cm="1">
        <f t="array" aca="1" ref="C848" ca="1">INDEX(Customers[Customer ID],RANDBETWEEN(1,200))</f>
        <v>C089</v>
      </c>
      <c r="D848" t="str" cm="1">
        <f t="array" aca="1" ref="D848" ca="1">INDEX(Products[Product ID],RANDBETWEEN(1,50))</f>
        <v>P023</v>
      </c>
      <c r="E848" t="str" cm="1">
        <f t="array" aca="1" ref="E848" ca="1">INDEX(Warehouses[Warehouse ID],RANDBETWEEN(1,8))</f>
        <v>W002</v>
      </c>
      <c r="F848">
        <f t="shared" ca="1" si="39"/>
        <v>6</v>
      </c>
      <c r="G848">
        <f ca="1">_xlfn.XLOOKUP(Orders[[#This Row],[Product ID]],Products[Product ID],Products[Selling Price])</f>
        <v>2300</v>
      </c>
      <c r="H848" s="6">
        <f t="shared" ca="1" si="40"/>
        <v>0.03</v>
      </c>
      <c r="I848">
        <f ca="1">Orders[[#This Row],[Quantity]]*Orders[[#This Row],[Unit Price]]*(1-Orders[[#This Row],[Discount%]])</f>
        <v>13386</v>
      </c>
      <c r="J848" t="str" cm="1">
        <f t="array" aca="1" ref="J848" ca="1">INDEX(PaymentMethods[Payment Method],RANDBETWEEN(1,5))</f>
        <v>Credit Card</v>
      </c>
    </row>
    <row r="849" spans="1:10" x14ac:dyDescent="0.3">
      <c r="A849" t="str">
        <f t="shared" si="41"/>
        <v>O0848</v>
      </c>
      <c r="B849" s="6">
        <f ca="1">Orders[[#This Row],[Discount%]]</f>
        <v>0.17</v>
      </c>
      <c r="C849" t="str" cm="1">
        <f t="array" aca="1" ref="C849" ca="1">INDEX(Customers[Customer ID],RANDBETWEEN(1,200))</f>
        <v>C071</v>
      </c>
      <c r="D849" t="str" cm="1">
        <f t="array" aca="1" ref="D849" ca="1">INDEX(Products[Product ID],RANDBETWEEN(1,50))</f>
        <v>P032</v>
      </c>
      <c r="E849" t="str" cm="1">
        <f t="array" aca="1" ref="E849" ca="1">INDEX(Warehouses[Warehouse ID],RANDBETWEEN(1,8))</f>
        <v>W006</v>
      </c>
      <c r="F849">
        <f t="shared" ca="1" si="39"/>
        <v>6</v>
      </c>
      <c r="G849">
        <f ca="1">_xlfn.XLOOKUP(Orders[[#This Row],[Product ID]],Products[Product ID],Products[Selling Price])</f>
        <v>220</v>
      </c>
      <c r="H849" s="6">
        <f t="shared" ca="1" si="40"/>
        <v>0.17</v>
      </c>
      <c r="I849">
        <f ca="1">Orders[[#This Row],[Quantity]]*Orders[[#This Row],[Unit Price]]*(1-Orders[[#This Row],[Discount%]])</f>
        <v>1095.5999999999999</v>
      </c>
      <c r="J849" t="str" cm="1">
        <f t="array" aca="1" ref="J849" ca="1">INDEX(PaymentMethods[Payment Method],RANDBETWEEN(1,5))</f>
        <v>UPI</v>
      </c>
    </row>
    <row r="850" spans="1:10" x14ac:dyDescent="0.3">
      <c r="A850" t="str">
        <f t="shared" si="41"/>
        <v>O0849</v>
      </c>
      <c r="B850" s="6">
        <f ca="1">Orders[[#This Row],[Discount%]]</f>
        <v>0.15</v>
      </c>
      <c r="C850" t="str" cm="1">
        <f t="array" aca="1" ref="C850" ca="1">INDEX(Customers[Customer ID],RANDBETWEEN(1,200))</f>
        <v>C103</v>
      </c>
      <c r="D850" t="str" cm="1">
        <f t="array" aca="1" ref="D850" ca="1">INDEX(Products[Product ID],RANDBETWEEN(1,50))</f>
        <v>P022</v>
      </c>
      <c r="E850" t="str" cm="1">
        <f t="array" aca="1" ref="E850" ca="1">INDEX(Warehouses[Warehouse ID],RANDBETWEEN(1,8))</f>
        <v>W004</v>
      </c>
      <c r="F850">
        <f t="shared" ca="1" si="39"/>
        <v>4</v>
      </c>
      <c r="G850">
        <f ca="1">_xlfn.XLOOKUP(Orders[[#This Row],[Product ID]],Products[Product ID],Products[Selling Price])</f>
        <v>5000</v>
      </c>
      <c r="H850" s="6">
        <f t="shared" ca="1" si="40"/>
        <v>0.15</v>
      </c>
      <c r="I850">
        <f ca="1">Orders[[#This Row],[Quantity]]*Orders[[#This Row],[Unit Price]]*(1-Orders[[#This Row],[Discount%]])</f>
        <v>17000</v>
      </c>
      <c r="J850" t="str" cm="1">
        <f t="array" aca="1" ref="J850" ca="1">INDEX(PaymentMethods[Payment Method],RANDBETWEEN(1,5))</f>
        <v>Net Banking</v>
      </c>
    </row>
    <row r="851" spans="1:10" x14ac:dyDescent="0.3">
      <c r="A851" t="str">
        <f t="shared" si="41"/>
        <v>O0850</v>
      </c>
      <c r="B851" s="6">
        <f ca="1">Orders[[#This Row],[Discount%]]</f>
        <v>0.04</v>
      </c>
      <c r="C851" t="str" cm="1">
        <f t="array" aca="1" ref="C851" ca="1">INDEX(Customers[Customer ID],RANDBETWEEN(1,200))</f>
        <v>C057</v>
      </c>
      <c r="D851" t="str" cm="1">
        <f t="array" aca="1" ref="D851" ca="1">INDEX(Products[Product ID],RANDBETWEEN(1,50))</f>
        <v>P023</v>
      </c>
      <c r="E851" t="str" cm="1">
        <f t="array" aca="1" ref="E851" ca="1">INDEX(Warehouses[Warehouse ID],RANDBETWEEN(1,8))</f>
        <v>W006</v>
      </c>
      <c r="F851">
        <f t="shared" ca="1" si="39"/>
        <v>5</v>
      </c>
      <c r="G851">
        <f ca="1">_xlfn.XLOOKUP(Orders[[#This Row],[Product ID]],Products[Product ID],Products[Selling Price])</f>
        <v>2300</v>
      </c>
      <c r="H851" s="6">
        <f t="shared" ca="1" si="40"/>
        <v>0.04</v>
      </c>
      <c r="I851">
        <f ca="1">Orders[[#This Row],[Quantity]]*Orders[[#This Row],[Unit Price]]*(1-Orders[[#This Row],[Discount%]])</f>
        <v>11040</v>
      </c>
      <c r="J851" t="str" cm="1">
        <f t="array" aca="1" ref="J851" ca="1">INDEX(PaymentMethods[Payment Method],RANDBETWEEN(1,5))</f>
        <v>Net Banking</v>
      </c>
    </row>
    <row r="852" spans="1:10" x14ac:dyDescent="0.3">
      <c r="A852" t="str">
        <f t="shared" si="41"/>
        <v>O0851</v>
      </c>
      <c r="B852" s="6">
        <f ca="1">Orders[[#This Row],[Discount%]]</f>
        <v>0.15</v>
      </c>
      <c r="C852" t="str" cm="1">
        <f t="array" aca="1" ref="C852" ca="1">INDEX(Customers[Customer ID],RANDBETWEEN(1,200))</f>
        <v>C027</v>
      </c>
      <c r="D852" t="str" cm="1">
        <f t="array" aca="1" ref="D852" ca="1">INDEX(Products[Product ID],RANDBETWEEN(1,50))</f>
        <v>P036</v>
      </c>
      <c r="E852" t="str" cm="1">
        <f t="array" aca="1" ref="E852" ca="1">INDEX(Warehouses[Warehouse ID],RANDBETWEEN(1,8))</f>
        <v>W004</v>
      </c>
      <c r="F852">
        <f t="shared" ca="1" si="39"/>
        <v>4</v>
      </c>
      <c r="G852">
        <f ca="1">_xlfn.XLOOKUP(Orders[[#This Row],[Product ID]],Products[Product ID],Products[Selling Price])</f>
        <v>450</v>
      </c>
      <c r="H852" s="6">
        <f t="shared" ca="1" si="40"/>
        <v>0.15</v>
      </c>
      <c r="I852">
        <f ca="1">Orders[[#This Row],[Quantity]]*Orders[[#This Row],[Unit Price]]*(1-Orders[[#This Row],[Discount%]])</f>
        <v>1530</v>
      </c>
      <c r="J852" t="str" cm="1">
        <f t="array" aca="1" ref="J852" ca="1">INDEX(PaymentMethods[Payment Method],RANDBETWEEN(1,5))</f>
        <v>Debit Card</v>
      </c>
    </row>
    <row r="853" spans="1:10" x14ac:dyDescent="0.3">
      <c r="A853" t="str">
        <f t="shared" si="41"/>
        <v>O0852</v>
      </c>
      <c r="B853" s="6">
        <f ca="1">Orders[[#This Row],[Discount%]]</f>
        <v>0.02</v>
      </c>
      <c r="C853" t="str" cm="1">
        <f t="array" aca="1" ref="C853" ca="1">INDEX(Customers[Customer ID],RANDBETWEEN(1,200))</f>
        <v>C195</v>
      </c>
      <c r="D853" t="str" cm="1">
        <f t="array" aca="1" ref="D853" ca="1">INDEX(Products[Product ID],RANDBETWEEN(1,50))</f>
        <v>P028</v>
      </c>
      <c r="E853" t="str" cm="1">
        <f t="array" aca="1" ref="E853" ca="1">INDEX(Warehouses[Warehouse ID],RANDBETWEEN(1,8))</f>
        <v>W001</v>
      </c>
      <c r="F853">
        <f t="shared" ca="1" si="39"/>
        <v>5</v>
      </c>
      <c r="G853">
        <f ca="1">_xlfn.XLOOKUP(Orders[[#This Row],[Product ID]],Products[Product ID],Products[Selling Price])</f>
        <v>16500</v>
      </c>
      <c r="H853" s="6">
        <f t="shared" ca="1" si="40"/>
        <v>0.02</v>
      </c>
      <c r="I853">
        <f ca="1">Orders[[#This Row],[Quantity]]*Orders[[#This Row],[Unit Price]]*(1-Orders[[#This Row],[Discount%]])</f>
        <v>80850</v>
      </c>
      <c r="J853" t="str" cm="1">
        <f t="array" aca="1" ref="J853" ca="1">INDEX(PaymentMethods[Payment Method],RANDBETWEEN(1,5))</f>
        <v>Debit Card</v>
      </c>
    </row>
    <row r="854" spans="1:10" x14ac:dyDescent="0.3">
      <c r="A854" t="str">
        <f t="shared" si="41"/>
        <v>O0853</v>
      </c>
      <c r="B854" s="6">
        <f ca="1">Orders[[#This Row],[Discount%]]</f>
        <v>0.08</v>
      </c>
      <c r="C854" t="str" cm="1">
        <f t="array" aca="1" ref="C854" ca="1">INDEX(Customers[Customer ID],RANDBETWEEN(1,200))</f>
        <v>C169</v>
      </c>
      <c r="D854" t="str" cm="1">
        <f t="array" aca="1" ref="D854" ca="1">INDEX(Products[Product ID],RANDBETWEEN(1,50))</f>
        <v>P031</v>
      </c>
      <c r="E854" t="str" cm="1">
        <f t="array" aca="1" ref="E854" ca="1">INDEX(Warehouses[Warehouse ID],RANDBETWEEN(1,8))</f>
        <v>W001</v>
      </c>
      <c r="F854">
        <f t="shared" ca="1" si="39"/>
        <v>7</v>
      </c>
      <c r="G854">
        <f ca="1">_xlfn.XLOOKUP(Orders[[#This Row],[Product ID]],Products[Product ID],Products[Selling Price])</f>
        <v>90</v>
      </c>
      <c r="H854" s="6">
        <f t="shared" ca="1" si="40"/>
        <v>0.08</v>
      </c>
      <c r="I854">
        <f ca="1">Orders[[#This Row],[Quantity]]*Orders[[#This Row],[Unit Price]]*(1-Orders[[#This Row],[Discount%]])</f>
        <v>579.6</v>
      </c>
      <c r="J854" t="str" cm="1">
        <f t="array" aca="1" ref="J854" ca="1">INDEX(PaymentMethods[Payment Method],RANDBETWEEN(1,5))</f>
        <v>Debit Card</v>
      </c>
    </row>
    <row r="855" spans="1:10" x14ac:dyDescent="0.3">
      <c r="A855" t="str">
        <f t="shared" si="41"/>
        <v>O0854</v>
      </c>
      <c r="B855" s="6">
        <f ca="1">Orders[[#This Row],[Discount%]]</f>
        <v>0.15</v>
      </c>
      <c r="C855" t="str" cm="1">
        <f t="array" aca="1" ref="C855" ca="1">INDEX(Customers[Customer ID],RANDBETWEEN(1,200))</f>
        <v>C140</v>
      </c>
      <c r="D855" t="str" cm="1">
        <f t="array" aca="1" ref="D855" ca="1">INDEX(Products[Product ID],RANDBETWEEN(1,50))</f>
        <v>P039</v>
      </c>
      <c r="E855" t="str" cm="1">
        <f t="array" aca="1" ref="E855" ca="1">INDEX(Warehouses[Warehouse ID],RANDBETWEEN(1,8))</f>
        <v>W001</v>
      </c>
      <c r="F855">
        <f t="shared" ca="1" si="39"/>
        <v>10</v>
      </c>
      <c r="G855">
        <f ca="1">_xlfn.XLOOKUP(Orders[[#This Row],[Product ID]],Products[Product ID],Products[Selling Price])</f>
        <v>250</v>
      </c>
      <c r="H855" s="6">
        <f t="shared" ca="1" si="40"/>
        <v>0.15</v>
      </c>
      <c r="I855">
        <f ca="1">Orders[[#This Row],[Quantity]]*Orders[[#This Row],[Unit Price]]*(1-Orders[[#This Row],[Discount%]])</f>
        <v>2125</v>
      </c>
      <c r="J855" t="str" cm="1">
        <f t="array" aca="1" ref="J855" ca="1">INDEX(PaymentMethods[Payment Method],RANDBETWEEN(1,5))</f>
        <v>UPI</v>
      </c>
    </row>
    <row r="856" spans="1:10" x14ac:dyDescent="0.3">
      <c r="A856" t="str">
        <f t="shared" si="41"/>
        <v>O0855</v>
      </c>
      <c r="B856" s="6">
        <f ca="1">Orders[[#This Row],[Discount%]]</f>
        <v>0.19</v>
      </c>
      <c r="C856" t="str" cm="1">
        <f t="array" aca="1" ref="C856" ca="1">INDEX(Customers[Customer ID],RANDBETWEEN(1,200))</f>
        <v>C172</v>
      </c>
      <c r="D856" t="str" cm="1">
        <f t="array" aca="1" ref="D856" ca="1">INDEX(Products[Product ID],RANDBETWEEN(1,50))</f>
        <v>P006</v>
      </c>
      <c r="E856" t="str" cm="1">
        <f t="array" aca="1" ref="E856" ca="1">INDEX(Warehouses[Warehouse ID],RANDBETWEEN(1,8))</f>
        <v>W006</v>
      </c>
      <c r="F856">
        <f t="shared" ca="1" si="39"/>
        <v>4</v>
      </c>
      <c r="G856">
        <f ca="1">_xlfn.XLOOKUP(Orders[[#This Row],[Product ID]],Products[Product ID],Products[Selling Price])</f>
        <v>3500</v>
      </c>
      <c r="H856" s="6">
        <f t="shared" ca="1" si="40"/>
        <v>0.19</v>
      </c>
      <c r="I856">
        <f ca="1">Orders[[#This Row],[Quantity]]*Orders[[#This Row],[Unit Price]]*(1-Orders[[#This Row],[Discount%]])</f>
        <v>11340</v>
      </c>
      <c r="J856" t="str" cm="1">
        <f t="array" aca="1" ref="J856" ca="1">INDEX(PaymentMethods[Payment Method],RANDBETWEEN(1,5))</f>
        <v>Credit Card</v>
      </c>
    </row>
    <row r="857" spans="1:10" x14ac:dyDescent="0.3">
      <c r="A857" t="str">
        <f t="shared" si="41"/>
        <v>O0856</v>
      </c>
      <c r="B857" s="6">
        <f ca="1">Orders[[#This Row],[Discount%]]</f>
        <v>0.01</v>
      </c>
      <c r="C857" t="str" cm="1">
        <f t="array" aca="1" ref="C857" ca="1">INDEX(Customers[Customer ID],RANDBETWEEN(1,200))</f>
        <v>C180</v>
      </c>
      <c r="D857" t="str" cm="1">
        <f t="array" aca="1" ref="D857" ca="1">INDEX(Products[Product ID],RANDBETWEEN(1,50))</f>
        <v>P002</v>
      </c>
      <c r="E857" t="str" cm="1">
        <f t="array" aca="1" ref="E857" ca="1">INDEX(Warehouses[Warehouse ID],RANDBETWEEN(1,8))</f>
        <v>W001</v>
      </c>
      <c r="F857">
        <f t="shared" ca="1" si="39"/>
        <v>6</v>
      </c>
      <c r="G857">
        <f ca="1">_xlfn.XLOOKUP(Orders[[#This Row],[Product ID]],Products[Product ID],Products[Selling Price])</f>
        <v>550</v>
      </c>
      <c r="H857" s="6">
        <f t="shared" ca="1" si="40"/>
        <v>0.01</v>
      </c>
      <c r="I857">
        <f ca="1">Orders[[#This Row],[Quantity]]*Orders[[#This Row],[Unit Price]]*(1-Orders[[#This Row],[Discount%]])</f>
        <v>3267</v>
      </c>
      <c r="J857" t="str" cm="1">
        <f t="array" aca="1" ref="J857" ca="1">INDEX(PaymentMethods[Payment Method],RANDBETWEEN(1,5))</f>
        <v>UPI</v>
      </c>
    </row>
    <row r="858" spans="1:10" x14ac:dyDescent="0.3">
      <c r="A858" t="str">
        <f t="shared" si="41"/>
        <v>O0857</v>
      </c>
      <c r="B858" s="6">
        <f ca="1">Orders[[#This Row],[Discount%]]</f>
        <v>0.02</v>
      </c>
      <c r="C858" t="str" cm="1">
        <f t="array" aca="1" ref="C858" ca="1">INDEX(Customers[Customer ID],RANDBETWEEN(1,200))</f>
        <v>C047</v>
      </c>
      <c r="D858" t="str" cm="1">
        <f t="array" aca="1" ref="D858" ca="1">INDEX(Products[Product ID],RANDBETWEEN(1,50))</f>
        <v>P030</v>
      </c>
      <c r="E858" t="str" cm="1">
        <f t="array" aca="1" ref="E858" ca="1">INDEX(Warehouses[Warehouse ID],RANDBETWEEN(1,8))</f>
        <v>W006</v>
      </c>
      <c r="F858">
        <f t="shared" ca="1" si="39"/>
        <v>5</v>
      </c>
      <c r="G858">
        <f ca="1">_xlfn.XLOOKUP(Orders[[#This Row],[Product ID]],Products[Product ID],Products[Selling Price])</f>
        <v>4800</v>
      </c>
      <c r="H858" s="6">
        <f t="shared" ca="1" si="40"/>
        <v>0.02</v>
      </c>
      <c r="I858">
        <f ca="1">Orders[[#This Row],[Quantity]]*Orders[[#This Row],[Unit Price]]*(1-Orders[[#This Row],[Discount%]])</f>
        <v>23520</v>
      </c>
      <c r="J858" t="str" cm="1">
        <f t="array" aca="1" ref="J858" ca="1">INDEX(PaymentMethods[Payment Method],RANDBETWEEN(1,5))</f>
        <v>Credit Card</v>
      </c>
    </row>
    <row r="859" spans="1:10" x14ac:dyDescent="0.3">
      <c r="A859" t="str">
        <f t="shared" si="41"/>
        <v>O0858</v>
      </c>
      <c r="B859" s="6">
        <f ca="1">Orders[[#This Row],[Discount%]]</f>
        <v>0.08</v>
      </c>
      <c r="C859" t="str" cm="1">
        <f t="array" aca="1" ref="C859" ca="1">INDEX(Customers[Customer ID],RANDBETWEEN(1,200))</f>
        <v>C015</v>
      </c>
      <c r="D859" t="str" cm="1">
        <f t="array" aca="1" ref="D859" ca="1">INDEX(Products[Product ID],RANDBETWEEN(1,50))</f>
        <v>P019</v>
      </c>
      <c r="E859" t="str" cm="1">
        <f t="array" aca="1" ref="E859" ca="1">INDEX(Warehouses[Warehouse ID],RANDBETWEEN(1,8))</f>
        <v>W001</v>
      </c>
      <c r="F859">
        <f t="shared" ca="1" si="39"/>
        <v>9</v>
      </c>
      <c r="G859">
        <f ca="1">_xlfn.XLOOKUP(Orders[[#This Row],[Product ID]],Products[Product ID],Products[Selling Price])</f>
        <v>950</v>
      </c>
      <c r="H859" s="6">
        <f t="shared" ca="1" si="40"/>
        <v>0.08</v>
      </c>
      <c r="I859">
        <f ca="1">Orders[[#This Row],[Quantity]]*Orders[[#This Row],[Unit Price]]*(1-Orders[[#This Row],[Discount%]])</f>
        <v>7866</v>
      </c>
      <c r="J859" t="str" cm="1">
        <f t="array" aca="1" ref="J859" ca="1">INDEX(PaymentMethods[Payment Method],RANDBETWEEN(1,5))</f>
        <v>Credit Card</v>
      </c>
    </row>
    <row r="860" spans="1:10" x14ac:dyDescent="0.3">
      <c r="A860" t="str">
        <f t="shared" si="41"/>
        <v>O0859</v>
      </c>
      <c r="B860" s="6">
        <f ca="1">Orders[[#This Row],[Discount%]]</f>
        <v>0.14000000000000001</v>
      </c>
      <c r="C860" t="str" cm="1">
        <f t="array" aca="1" ref="C860" ca="1">INDEX(Customers[Customer ID],RANDBETWEEN(1,200))</f>
        <v>C067</v>
      </c>
      <c r="D860" t="str" cm="1">
        <f t="array" aca="1" ref="D860" ca="1">INDEX(Products[Product ID],RANDBETWEEN(1,50))</f>
        <v>P008</v>
      </c>
      <c r="E860" t="str" cm="1">
        <f t="array" aca="1" ref="E860" ca="1">INDEX(Warehouses[Warehouse ID],RANDBETWEEN(1,8))</f>
        <v>W001</v>
      </c>
      <c r="F860">
        <f t="shared" ca="1" si="39"/>
        <v>5</v>
      </c>
      <c r="G860">
        <f ca="1">_xlfn.XLOOKUP(Orders[[#This Row],[Product ID]],Products[Product ID],Products[Selling Price])</f>
        <v>4200</v>
      </c>
      <c r="H860" s="6">
        <f t="shared" ca="1" si="40"/>
        <v>0.14000000000000001</v>
      </c>
      <c r="I860">
        <f ca="1">Orders[[#This Row],[Quantity]]*Orders[[#This Row],[Unit Price]]*(1-Orders[[#This Row],[Discount%]])</f>
        <v>18060</v>
      </c>
      <c r="J860" t="str" cm="1">
        <f t="array" aca="1" ref="J860" ca="1">INDEX(PaymentMethods[Payment Method],RANDBETWEEN(1,5))</f>
        <v>Net Banking</v>
      </c>
    </row>
    <row r="861" spans="1:10" x14ac:dyDescent="0.3">
      <c r="A861" t="str">
        <f t="shared" si="41"/>
        <v>O0860</v>
      </c>
      <c r="B861" s="6">
        <f ca="1">Orders[[#This Row],[Discount%]]</f>
        <v>0.03</v>
      </c>
      <c r="C861" t="str" cm="1">
        <f t="array" aca="1" ref="C861" ca="1">INDEX(Customers[Customer ID],RANDBETWEEN(1,200))</f>
        <v>C071</v>
      </c>
      <c r="D861" t="str" cm="1">
        <f t="array" aca="1" ref="D861" ca="1">INDEX(Products[Product ID],RANDBETWEEN(1,50))</f>
        <v>P013</v>
      </c>
      <c r="E861" t="str" cm="1">
        <f t="array" aca="1" ref="E861" ca="1">INDEX(Warehouses[Warehouse ID],RANDBETWEEN(1,8))</f>
        <v>W007</v>
      </c>
      <c r="F861">
        <f t="shared" ca="1" si="39"/>
        <v>4</v>
      </c>
      <c r="G861">
        <f ca="1">_xlfn.XLOOKUP(Orders[[#This Row],[Product ID]],Products[Product ID],Products[Selling Price])</f>
        <v>25</v>
      </c>
      <c r="H861" s="6">
        <f t="shared" ca="1" si="40"/>
        <v>0.03</v>
      </c>
      <c r="I861">
        <f ca="1">Orders[[#This Row],[Quantity]]*Orders[[#This Row],[Unit Price]]*(1-Orders[[#This Row],[Discount%]])</f>
        <v>97</v>
      </c>
      <c r="J861" t="str" cm="1">
        <f t="array" aca="1" ref="J861" ca="1">INDEX(PaymentMethods[Payment Method],RANDBETWEEN(1,5))</f>
        <v>UPI</v>
      </c>
    </row>
    <row r="862" spans="1:10" x14ac:dyDescent="0.3">
      <c r="A862" t="str">
        <f t="shared" si="41"/>
        <v>O0861</v>
      </c>
      <c r="B862" s="6">
        <f ca="1">Orders[[#This Row],[Discount%]]</f>
        <v>7.0000000000000007E-2</v>
      </c>
      <c r="C862" t="str" cm="1">
        <f t="array" aca="1" ref="C862" ca="1">INDEX(Customers[Customer ID],RANDBETWEEN(1,200))</f>
        <v>C058</v>
      </c>
      <c r="D862" t="str" cm="1">
        <f t="array" aca="1" ref="D862" ca="1">INDEX(Products[Product ID],RANDBETWEEN(1,50))</f>
        <v>P001</v>
      </c>
      <c r="E862" t="str" cm="1">
        <f t="array" aca="1" ref="E862" ca="1">INDEX(Warehouses[Warehouse ID],RANDBETWEEN(1,8))</f>
        <v>W008</v>
      </c>
      <c r="F862">
        <f t="shared" ca="1" si="39"/>
        <v>2</v>
      </c>
      <c r="G862">
        <f ca="1">_xlfn.XLOOKUP(Orders[[#This Row],[Product ID]],Products[Product ID],Products[Selling Price])</f>
        <v>42000</v>
      </c>
      <c r="H862" s="6">
        <f t="shared" ca="1" si="40"/>
        <v>7.0000000000000007E-2</v>
      </c>
      <c r="I862">
        <f ca="1">Orders[[#This Row],[Quantity]]*Orders[[#This Row],[Unit Price]]*(1-Orders[[#This Row],[Discount%]])</f>
        <v>78120</v>
      </c>
      <c r="J862" t="str" cm="1">
        <f t="array" aca="1" ref="J862" ca="1">INDEX(PaymentMethods[Payment Method],RANDBETWEEN(1,5))</f>
        <v>UPI</v>
      </c>
    </row>
    <row r="863" spans="1:10" x14ac:dyDescent="0.3">
      <c r="A863" t="str">
        <f t="shared" si="41"/>
        <v>O0862</v>
      </c>
      <c r="B863" s="6">
        <f ca="1">Orders[[#This Row],[Discount%]]</f>
        <v>0.13</v>
      </c>
      <c r="C863" t="str" cm="1">
        <f t="array" aca="1" ref="C863" ca="1">INDEX(Customers[Customer ID],RANDBETWEEN(1,200))</f>
        <v>C038</v>
      </c>
      <c r="D863" t="str" cm="1">
        <f t="array" aca="1" ref="D863" ca="1">INDEX(Products[Product ID],RANDBETWEEN(1,50))</f>
        <v>P009</v>
      </c>
      <c r="E863" t="str" cm="1">
        <f t="array" aca="1" ref="E863" ca="1">INDEX(Warehouses[Warehouse ID],RANDBETWEEN(1,8))</f>
        <v>W005</v>
      </c>
      <c r="F863">
        <f t="shared" ca="1" si="39"/>
        <v>5</v>
      </c>
      <c r="G863">
        <f ca="1">_xlfn.XLOOKUP(Orders[[#This Row],[Product ID]],Products[Product ID],Products[Selling Price])</f>
        <v>20000</v>
      </c>
      <c r="H863" s="6">
        <f t="shared" ca="1" si="40"/>
        <v>0.13</v>
      </c>
      <c r="I863">
        <f ca="1">Orders[[#This Row],[Quantity]]*Orders[[#This Row],[Unit Price]]*(1-Orders[[#This Row],[Discount%]])</f>
        <v>87000</v>
      </c>
      <c r="J863" t="str" cm="1">
        <f t="array" aca="1" ref="J863" ca="1">INDEX(PaymentMethods[Payment Method],RANDBETWEEN(1,5))</f>
        <v>Credit Card</v>
      </c>
    </row>
    <row r="864" spans="1:10" x14ac:dyDescent="0.3">
      <c r="A864" t="str">
        <f t="shared" si="41"/>
        <v>O0863</v>
      </c>
      <c r="B864" s="6">
        <f ca="1">Orders[[#This Row],[Discount%]]</f>
        <v>0.14000000000000001</v>
      </c>
      <c r="C864" t="str" cm="1">
        <f t="array" aca="1" ref="C864" ca="1">INDEX(Customers[Customer ID],RANDBETWEEN(1,200))</f>
        <v>C027</v>
      </c>
      <c r="D864" t="str" cm="1">
        <f t="array" aca="1" ref="D864" ca="1">INDEX(Products[Product ID],RANDBETWEEN(1,50))</f>
        <v>P023</v>
      </c>
      <c r="E864" t="str" cm="1">
        <f t="array" aca="1" ref="E864" ca="1">INDEX(Warehouses[Warehouse ID],RANDBETWEEN(1,8))</f>
        <v>W001</v>
      </c>
      <c r="F864">
        <f t="shared" ca="1" si="39"/>
        <v>3</v>
      </c>
      <c r="G864">
        <f ca="1">_xlfn.XLOOKUP(Orders[[#This Row],[Product ID]],Products[Product ID],Products[Selling Price])</f>
        <v>2300</v>
      </c>
      <c r="H864" s="6">
        <f t="shared" ca="1" si="40"/>
        <v>0.14000000000000001</v>
      </c>
      <c r="I864">
        <f ca="1">Orders[[#This Row],[Quantity]]*Orders[[#This Row],[Unit Price]]*(1-Orders[[#This Row],[Discount%]])</f>
        <v>5934</v>
      </c>
      <c r="J864" t="str" cm="1">
        <f t="array" aca="1" ref="J864" ca="1">INDEX(PaymentMethods[Payment Method],RANDBETWEEN(1,5))</f>
        <v>Debit Card</v>
      </c>
    </row>
    <row r="865" spans="1:10" x14ac:dyDescent="0.3">
      <c r="A865" t="str">
        <f t="shared" si="41"/>
        <v>O0864</v>
      </c>
      <c r="B865" s="6">
        <f ca="1">Orders[[#This Row],[Discount%]]</f>
        <v>0.11</v>
      </c>
      <c r="C865" t="str" cm="1">
        <f t="array" aca="1" ref="C865" ca="1">INDEX(Customers[Customer ID],RANDBETWEEN(1,200))</f>
        <v>C011</v>
      </c>
      <c r="D865" t="str" cm="1">
        <f t="array" aca="1" ref="D865" ca="1">INDEX(Products[Product ID],RANDBETWEEN(1,50))</f>
        <v>P001</v>
      </c>
      <c r="E865" t="str" cm="1">
        <f t="array" aca="1" ref="E865" ca="1">INDEX(Warehouses[Warehouse ID],RANDBETWEEN(1,8))</f>
        <v>W006</v>
      </c>
      <c r="F865">
        <f t="shared" ca="1" si="39"/>
        <v>4</v>
      </c>
      <c r="G865">
        <f ca="1">_xlfn.XLOOKUP(Orders[[#This Row],[Product ID]],Products[Product ID],Products[Selling Price])</f>
        <v>42000</v>
      </c>
      <c r="H865" s="6">
        <f t="shared" ca="1" si="40"/>
        <v>0.11</v>
      </c>
      <c r="I865">
        <f ca="1">Orders[[#This Row],[Quantity]]*Orders[[#This Row],[Unit Price]]*(1-Orders[[#This Row],[Discount%]])</f>
        <v>149520</v>
      </c>
      <c r="J865" t="str" cm="1">
        <f t="array" aca="1" ref="J865" ca="1">INDEX(PaymentMethods[Payment Method],RANDBETWEEN(1,5))</f>
        <v>Credit Card</v>
      </c>
    </row>
    <row r="866" spans="1:10" x14ac:dyDescent="0.3">
      <c r="A866" t="str">
        <f t="shared" si="41"/>
        <v>O0865</v>
      </c>
      <c r="B866" s="6">
        <f ca="1">Orders[[#This Row],[Discount%]]</f>
        <v>0.02</v>
      </c>
      <c r="C866" t="str" cm="1">
        <f t="array" aca="1" ref="C866" ca="1">INDEX(Customers[Customer ID],RANDBETWEEN(1,200))</f>
        <v>C103</v>
      </c>
      <c r="D866" t="str" cm="1">
        <f t="array" aca="1" ref="D866" ca="1">INDEX(Products[Product ID],RANDBETWEEN(1,50))</f>
        <v>P024</v>
      </c>
      <c r="E866" t="str" cm="1">
        <f t="array" aca="1" ref="E866" ca="1">INDEX(Warehouses[Warehouse ID],RANDBETWEEN(1,8))</f>
        <v>W006</v>
      </c>
      <c r="F866">
        <f t="shared" ca="1" si="39"/>
        <v>8</v>
      </c>
      <c r="G866">
        <f ca="1">_xlfn.XLOOKUP(Orders[[#This Row],[Product ID]],Products[Product ID],Products[Selling Price])</f>
        <v>1700</v>
      </c>
      <c r="H866" s="6">
        <f t="shared" ca="1" si="40"/>
        <v>0.02</v>
      </c>
      <c r="I866">
        <f ca="1">Orders[[#This Row],[Quantity]]*Orders[[#This Row],[Unit Price]]*(1-Orders[[#This Row],[Discount%]])</f>
        <v>13328</v>
      </c>
      <c r="J866" t="str" cm="1">
        <f t="array" aca="1" ref="J866" ca="1">INDEX(PaymentMethods[Payment Method],RANDBETWEEN(1,5))</f>
        <v>Debit Card</v>
      </c>
    </row>
    <row r="867" spans="1:10" x14ac:dyDescent="0.3">
      <c r="A867" t="str">
        <f t="shared" si="41"/>
        <v>O0866</v>
      </c>
      <c r="B867" s="6">
        <f ca="1">Orders[[#This Row],[Discount%]]</f>
        <v>0.03</v>
      </c>
      <c r="C867" t="str" cm="1">
        <f t="array" aca="1" ref="C867" ca="1">INDEX(Customers[Customer ID],RANDBETWEEN(1,200))</f>
        <v>C123</v>
      </c>
      <c r="D867" t="str" cm="1">
        <f t="array" aca="1" ref="D867" ca="1">INDEX(Products[Product ID],RANDBETWEEN(1,50))</f>
        <v>P040</v>
      </c>
      <c r="E867" t="str" cm="1">
        <f t="array" aca="1" ref="E867" ca="1">INDEX(Warehouses[Warehouse ID],RANDBETWEEN(1,8))</f>
        <v>W005</v>
      </c>
      <c r="F867">
        <f t="shared" ca="1" si="39"/>
        <v>1</v>
      </c>
      <c r="G867">
        <f ca="1">_xlfn.XLOOKUP(Orders[[#This Row],[Product ID]],Products[Product ID],Products[Selling Price])</f>
        <v>180</v>
      </c>
      <c r="H867" s="6">
        <f t="shared" ca="1" si="40"/>
        <v>0.03</v>
      </c>
      <c r="I867">
        <f ca="1">Orders[[#This Row],[Quantity]]*Orders[[#This Row],[Unit Price]]*(1-Orders[[#This Row],[Discount%]])</f>
        <v>174.6</v>
      </c>
      <c r="J867" t="str" cm="1">
        <f t="array" aca="1" ref="J867" ca="1">INDEX(PaymentMethods[Payment Method],RANDBETWEEN(1,5))</f>
        <v>UPI</v>
      </c>
    </row>
    <row r="868" spans="1:10" x14ac:dyDescent="0.3">
      <c r="A868" t="str">
        <f t="shared" si="41"/>
        <v>O0867</v>
      </c>
      <c r="B868" s="6">
        <f ca="1">Orders[[#This Row],[Discount%]]</f>
        <v>0.17</v>
      </c>
      <c r="C868" t="str" cm="1">
        <f t="array" aca="1" ref="C868" ca="1">INDEX(Customers[Customer ID],RANDBETWEEN(1,200))</f>
        <v>C057</v>
      </c>
      <c r="D868" t="str" cm="1">
        <f t="array" aca="1" ref="D868" ca="1">INDEX(Products[Product ID],RANDBETWEEN(1,50))</f>
        <v>P042</v>
      </c>
      <c r="E868" t="str" cm="1">
        <f t="array" aca="1" ref="E868" ca="1">INDEX(Warehouses[Warehouse ID],RANDBETWEEN(1,8))</f>
        <v>W005</v>
      </c>
      <c r="F868">
        <f t="shared" ca="1" si="39"/>
        <v>3</v>
      </c>
      <c r="G868">
        <f ca="1">_xlfn.XLOOKUP(Orders[[#This Row],[Product ID]],Products[Product ID],Products[Selling Price])</f>
        <v>29000</v>
      </c>
      <c r="H868" s="6">
        <f t="shared" ca="1" si="40"/>
        <v>0.17</v>
      </c>
      <c r="I868">
        <f ca="1">Orders[[#This Row],[Quantity]]*Orders[[#This Row],[Unit Price]]*(1-Orders[[#This Row],[Discount%]])</f>
        <v>72210</v>
      </c>
      <c r="J868" t="str" cm="1">
        <f t="array" aca="1" ref="J868" ca="1">INDEX(PaymentMethods[Payment Method],RANDBETWEEN(1,5))</f>
        <v>Debit Card</v>
      </c>
    </row>
    <row r="869" spans="1:10" x14ac:dyDescent="0.3">
      <c r="A869" t="str">
        <f t="shared" si="41"/>
        <v>O0868</v>
      </c>
      <c r="B869" s="6">
        <f ca="1">Orders[[#This Row],[Discount%]]</f>
        <v>0.12</v>
      </c>
      <c r="C869" t="str" cm="1">
        <f t="array" aca="1" ref="C869" ca="1">INDEX(Customers[Customer ID],RANDBETWEEN(1,200))</f>
        <v>C087</v>
      </c>
      <c r="D869" t="str" cm="1">
        <f t="array" aca="1" ref="D869" ca="1">INDEX(Products[Product ID],RANDBETWEEN(1,50))</f>
        <v>P041</v>
      </c>
      <c r="E869" t="str" cm="1">
        <f t="array" aca="1" ref="E869" ca="1">INDEX(Warehouses[Warehouse ID],RANDBETWEEN(1,8))</f>
        <v>W002</v>
      </c>
      <c r="F869">
        <f t="shared" ca="1" si="39"/>
        <v>8</v>
      </c>
      <c r="G869">
        <f ca="1">_xlfn.XLOOKUP(Orders[[#This Row],[Product ID]],Products[Product ID],Products[Selling Price])</f>
        <v>36000</v>
      </c>
      <c r="H869" s="6">
        <f t="shared" ca="1" si="40"/>
        <v>0.12</v>
      </c>
      <c r="I869">
        <f ca="1">Orders[[#This Row],[Quantity]]*Orders[[#This Row],[Unit Price]]*(1-Orders[[#This Row],[Discount%]])</f>
        <v>253440</v>
      </c>
      <c r="J869" t="str" cm="1">
        <f t="array" aca="1" ref="J869" ca="1">INDEX(PaymentMethods[Payment Method],RANDBETWEEN(1,5))</f>
        <v>Net Banking</v>
      </c>
    </row>
    <row r="870" spans="1:10" x14ac:dyDescent="0.3">
      <c r="A870" t="str">
        <f t="shared" si="41"/>
        <v>O0869</v>
      </c>
      <c r="B870" s="6">
        <f ca="1">Orders[[#This Row],[Discount%]]</f>
        <v>0.12</v>
      </c>
      <c r="C870" t="str" cm="1">
        <f t="array" aca="1" ref="C870" ca="1">INDEX(Customers[Customer ID],RANDBETWEEN(1,200))</f>
        <v>C134</v>
      </c>
      <c r="D870" t="str" cm="1">
        <f t="array" aca="1" ref="D870" ca="1">INDEX(Products[Product ID],RANDBETWEEN(1,50))</f>
        <v>P002</v>
      </c>
      <c r="E870" t="str" cm="1">
        <f t="array" aca="1" ref="E870" ca="1">INDEX(Warehouses[Warehouse ID],RANDBETWEEN(1,8))</f>
        <v>W006</v>
      </c>
      <c r="F870">
        <f t="shared" ca="1" si="39"/>
        <v>4</v>
      </c>
      <c r="G870">
        <f ca="1">_xlfn.XLOOKUP(Orders[[#This Row],[Product ID]],Products[Product ID],Products[Selling Price])</f>
        <v>550</v>
      </c>
      <c r="H870" s="6">
        <f t="shared" ca="1" si="40"/>
        <v>0.12</v>
      </c>
      <c r="I870">
        <f ca="1">Orders[[#This Row],[Quantity]]*Orders[[#This Row],[Unit Price]]*(1-Orders[[#This Row],[Discount%]])</f>
        <v>1936</v>
      </c>
      <c r="J870" t="str" cm="1">
        <f t="array" aca="1" ref="J870" ca="1">INDEX(PaymentMethods[Payment Method],RANDBETWEEN(1,5))</f>
        <v>Cash</v>
      </c>
    </row>
    <row r="871" spans="1:10" x14ac:dyDescent="0.3">
      <c r="A871" t="str">
        <f t="shared" si="41"/>
        <v>O0870</v>
      </c>
      <c r="B871" s="6">
        <f ca="1">Orders[[#This Row],[Discount%]]</f>
        <v>0.1</v>
      </c>
      <c r="C871" t="str" cm="1">
        <f t="array" aca="1" ref="C871" ca="1">INDEX(Customers[Customer ID],RANDBETWEEN(1,200))</f>
        <v>C026</v>
      </c>
      <c r="D871" t="str" cm="1">
        <f t="array" aca="1" ref="D871" ca="1">INDEX(Products[Product ID],RANDBETWEEN(1,50))</f>
        <v>P036</v>
      </c>
      <c r="E871" t="str" cm="1">
        <f t="array" aca="1" ref="E871" ca="1">INDEX(Warehouses[Warehouse ID],RANDBETWEEN(1,8))</f>
        <v>W001</v>
      </c>
      <c r="F871">
        <f t="shared" ca="1" si="39"/>
        <v>7</v>
      </c>
      <c r="G871">
        <f ca="1">_xlfn.XLOOKUP(Orders[[#This Row],[Product ID]],Products[Product ID],Products[Selling Price])</f>
        <v>450</v>
      </c>
      <c r="H871" s="6">
        <f t="shared" ca="1" si="40"/>
        <v>0.1</v>
      </c>
      <c r="I871">
        <f ca="1">Orders[[#This Row],[Quantity]]*Orders[[#This Row],[Unit Price]]*(1-Orders[[#This Row],[Discount%]])</f>
        <v>2835</v>
      </c>
      <c r="J871" t="str" cm="1">
        <f t="array" aca="1" ref="J871" ca="1">INDEX(PaymentMethods[Payment Method],RANDBETWEEN(1,5))</f>
        <v>Debit Card</v>
      </c>
    </row>
    <row r="872" spans="1:10" x14ac:dyDescent="0.3">
      <c r="A872" t="str">
        <f t="shared" si="41"/>
        <v>O0871</v>
      </c>
      <c r="B872" s="6">
        <f ca="1">Orders[[#This Row],[Discount%]]</f>
        <v>0.16</v>
      </c>
      <c r="C872" t="str" cm="1">
        <f t="array" aca="1" ref="C872" ca="1">INDEX(Customers[Customer ID],RANDBETWEEN(1,200))</f>
        <v>C069</v>
      </c>
      <c r="D872" t="str" cm="1">
        <f t="array" aca="1" ref="D872" ca="1">INDEX(Products[Product ID],RANDBETWEEN(1,50))</f>
        <v>P015</v>
      </c>
      <c r="E872" t="str" cm="1">
        <f t="array" aca="1" ref="E872" ca="1">INDEX(Warehouses[Warehouse ID],RANDBETWEEN(1,8))</f>
        <v>W006</v>
      </c>
      <c r="F872">
        <f t="shared" ca="1" si="39"/>
        <v>10</v>
      </c>
      <c r="G872">
        <f ca="1">_xlfn.XLOOKUP(Orders[[#This Row],[Product ID]],Products[Product ID],Products[Selling Price])</f>
        <v>1800</v>
      </c>
      <c r="H872" s="6">
        <f t="shared" ca="1" si="40"/>
        <v>0.16</v>
      </c>
      <c r="I872">
        <f ca="1">Orders[[#This Row],[Quantity]]*Orders[[#This Row],[Unit Price]]*(1-Orders[[#This Row],[Discount%]])</f>
        <v>15120</v>
      </c>
      <c r="J872" t="str" cm="1">
        <f t="array" aca="1" ref="J872" ca="1">INDEX(PaymentMethods[Payment Method],RANDBETWEEN(1,5))</f>
        <v>Cash</v>
      </c>
    </row>
    <row r="873" spans="1:10" x14ac:dyDescent="0.3">
      <c r="A873" t="str">
        <f t="shared" si="41"/>
        <v>O0872</v>
      </c>
      <c r="B873" s="6">
        <f ca="1">Orders[[#This Row],[Discount%]]</f>
        <v>0.04</v>
      </c>
      <c r="C873" t="str" cm="1">
        <f t="array" aca="1" ref="C873" ca="1">INDEX(Customers[Customer ID],RANDBETWEEN(1,200))</f>
        <v>C068</v>
      </c>
      <c r="D873" t="str" cm="1">
        <f t="array" aca="1" ref="D873" ca="1">INDEX(Products[Product ID],RANDBETWEEN(1,50))</f>
        <v>P050</v>
      </c>
      <c r="E873" t="str" cm="1">
        <f t="array" aca="1" ref="E873" ca="1">INDEX(Warehouses[Warehouse ID],RANDBETWEEN(1,8))</f>
        <v>W005</v>
      </c>
      <c r="F873">
        <f t="shared" ca="1" si="39"/>
        <v>10</v>
      </c>
      <c r="G873">
        <f ca="1">_xlfn.XLOOKUP(Orders[[#This Row],[Product ID]],Products[Product ID],Products[Selling Price])</f>
        <v>12000</v>
      </c>
      <c r="H873" s="6">
        <f t="shared" ca="1" si="40"/>
        <v>0.04</v>
      </c>
      <c r="I873">
        <f ca="1">Orders[[#This Row],[Quantity]]*Orders[[#This Row],[Unit Price]]*(1-Orders[[#This Row],[Discount%]])</f>
        <v>115200</v>
      </c>
      <c r="J873" t="str" cm="1">
        <f t="array" aca="1" ref="J873" ca="1">INDEX(PaymentMethods[Payment Method],RANDBETWEEN(1,5))</f>
        <v>Cash</v>
      </c>
    </row>
    <row r="874" spans="1:10" x14ac:dyDescent="0.3">
      <c r="A874" t="str">
        <f t="shared" si="41"/>
        <v>O0873</v>
      </c>
      <c r="B874" s="6">
        <f ca="1">Orders[[#This Row],[Discount%]]</f>
        <v>0.12</v>
      </c>
      <c r="C874" t="str" cm="1">
        <f t="array" aca="1" ref="C874" ca="1">INDEX(Customers[Customer ID],RANDBETWEEN(1,200))</f>
        <v>C025</v>
      </c>
      <c r="D874" t="str" cm="1">
        <f t="array" aca="1" ref="D874" ca="1">INDEX(Products[Product ID],RANDBETWEEN(1,50))</f>
        <v>P046</v>
      </c>
      <c r="E874" t="str" cm="1">
        <f t="array" aca="1" ref="E874" ca="1">INDEX(Warehouses[Warehouse ID],RANDBETWEEN(1,8))</f>
        <v>W008</v>
      </c>
      <c r="F874">
        <f t="shared" ca="1" si="39"/>
        <v>1</v>
      </c>
      <c r="G874">
        <f ca="1">_xlfn.XLOOKUP(Orders[[#This Row],[Product ID]],Products[Product ID],Products[Selling Price])</f>
        <v>2500</v>
      </c>
      <c r="H874" s="6">
        <f t="shared" ca="1" si="40"/>
        <v>0.12</v>
      </c>
      <c r="I874">
        <f ca="1">Orders[[#This Row],[Quantity]]*Orders[[#This Row],[Unit Price]]*(1-Orders[[#This Row],[Discount%]])</f>
        <v>2200</v>
      </c>
      <c r="J874" t="str" cm="1">
        <f t="array" aca="1" ref="J874" ca="1">INDEX(PaymentMethods[Payment Method],RANDBETWEEN(1,5))</f>
        <v>Credit Card</v>
      </c>
    </row>
    <row r="875" spans="1:10" x14ac:dyDescent="0.3">
      <c r="A875" t="str">
        <f t="shared" si="41"/>
        <v>O0874</v>
      </c>
      <c r="B875" s="6">
        <f ca="1">Orders[[#This Row],[Discount%]]</f>
        <v>0.13</v>
      </c>
      <c r="C875" t="str" cm="1">
        <f t="array" aca="1" ref="C875" ca="1">INDEX(Customers[Customer ID],RANDBETWEEN(1,200))</f>
        <v>C160</v>
      </c>
      <c r="D875" t="str" cm="1">
        <f t="array" aca="1" ref="D875" ca="1">INDEX(Products[Product ID],RANDBETWEEN(1,50))</f>
        <v>P043</v>
      </c>
      <c r="E875" t="str" cm="1">
        <f t="array" aca="1" ref="E875" ca="1">INDEX(Warehouses[Warehouse ID],RANDBETWEEN(1,8))</f>
        <v>W006</v>
      </c>
      <c r="F875">
        <f t="shared" ca="1" si="39"/>
        <v>7</v>
      </c>
      <c r="G875">
        <f ca="1">_xlfn.XLOOKUP(Orders[[#This Row],[Product ID]],Products[Product ID],Products[Selling Price])</f>
        <v>24500</v>
      </c>
      <c r="H875" s="6">
        <f t="shared" ca="1" si="40"/>
        <v>0.13</v>
      </c>
      <c r="I875">
        <f ca="1">Orders[[#This Row],[Quantity]]*Orders[[#This Row],[Unit Price]]*(1-Orders[[#This Row],[Discount%]])</f>
        <v>149205</v>
      </c>
      <c r="J875" t="str" cm="1">
        <f t="array" aca="1" ref="J875" ca="1">INDEX(PaymentMethods[Payment Method],RANDBETWEEN(1,5))</f>
        <v>Cash</v>
      </c>
    </row>
    <row r="876" spans="1:10" x14ac:dyDescent="0.3">
      <c r="A876" t="str">
        <f t="shared" si="41"/>
        <v>O0875</v>
      </c>
      <c r="B876" s="6">
        <f ca="1">Orders[[#This Row],[Discount%]]</f>
        <v>0.03</v>
      </c>
      <c r="C876" t="str" cm="1">
        <f t="array" aca="1" ref="C876" ca="1">INDEX(Customers[Customer ID],RANDBETWEEN(1,200))</f>
        <v>C101</v>
      </c>
      <c r="D876" t="str" cm="1">
        <f t="array" aca="1" ref="D876" ca="1">INDEX(Products[Product ID],RANDBETWEEN(1,50))</f>
        <v>P038</v>
      </c>
      <c r="E876" t="str" cm="1">
        <f t="array" aca="1" ref="E876" ca="1">INDEX(Warehouses[Warehouse ID],RANDBETWEEN(1,8))</f>
        <v>W002</v>
      </c>
      <c r="F876">
        <f t="shared" ca="1" si="39"/>
        <v>2</v>
      </c>
      <c r="G876">
        <f ca="1">_xlfn.XLOOKUP(Orders[[#This Row],[Product ID]],Products[Product ID],Products[Selling Price])</f>
        <v>1500</v>
      </c>
      <c r="H876" s="6">
        <f t="shared" ca="1" si="40"/>
        <v>0.03</v>
      </c>
      <c r="I876">
        <f ca="1">Orders[[#This Row],[Quantity]]*Orders[[#This Row],[Unit Price]]*(1-Orders[[#This Row],[Discount%]])</f>
        <v>2910</v>
      </c>
      <c r="J876" t="str" cm="1">
        <f t="array" aca="1" ref="J876" ca="1">INDEX(PaymentMethods[Payment Method],RANDBETWEEN(1,5))</f>
        <v>Credit Card</v>
      </c>
    </row>
    <row r="877" spans="1:10" x14ac:dyDescent="0.3">
      <c r="A877" t="str">
        <f t="shared" si="41"/>
        <v>O0876</v>
      </c>
      <c r="B877" s="6">
        <f ca="1">Orders[[#This Row],[Discount%]]</f>
        <v>0.13</v>
      </c>
      <c r="C877" t="str" cm="1">
        <f t="array" aca="1" ref="C877" ca="1">INDEX(Customers[Customer ID],RANDBETWEEN(1,200))</f>
        <v>C062</v>
      </c>
      <c r="D877" t="str" cm="1">
        <f t="array" aca="1" ref="D877" ca="1">INDEX(Products[Product ID],RANDBETWEEN(1,50))</f>
        <v>P017</v>
      </c>
      <c r="E877" t="str" cm="1">
        <f t="array" aca="1" ref="E877" ca="1">INDEX(Warehouses[Warehouse ID],RANDBETWEEN(1,8))</f>
        <v>W007</v>
      </c>
      <c r="F877">
        <f t="shared" ca="1" si="39"/>
        <v>9</v>
      </c>
      <c r="G877">
        <f ca="1">_xlfn.XLOOKUP(Orders[[#This Row],[Product ID]],Products[Product ID],Products[Selling Price])</f>
        <v>650</v>
      </c>
      <c r="H877" s="6">
        <f t="shared" ca="1" si="40"/>
        <v>0.13</v>
      </c>
      <c r="I877">
        <f ca="1">Orders[[#This Row],[Quantity]]*Orders[[#This Row],[Unit Price]]*(1-Orders[[#This Row],[Discount%]])</f>
        <v>5089.5</v>
      </c>
      <c r="J877" t="str" cm="1">
        <f t="array" aca="1" ref="J877" ca="1">INDEX(PaymentMethods[Payment Method],RANDBETWEEN(1,5))</f>
        <v>UPI</v>
      </c>
    </row>
    <row r="878" spans="1:10" x14ac:dyDescent="0.3">
      <c r="A878" t="str">
        <f t="shared" si="41"/>
        <v>O0877</v>
      </c>
      <c r="B878" s="6">
        <f ca="1">Orders[[#This Row],[Discount%]]</f>
        <v>0</v>
      </c>
      <c r="C878" t="str" cm="1">
        <f t="array" aca="1" ref="C878" ca="1">INDEX(Customers[Customer ID],RANDBETWEEN(1,200))</f>
        <v>C167</v>
      </c>
      <c r="D878" t="str" cm="1">
        <f t="array" aca="1" ref="D878" ca="1">INDEX(Products[Product ID],RANDBETWEEN(1,50))</f>
        <v>P019</v>
      </c>
      <c r="E878" t="str" cm="1">
        <f t="array" aca="1" ref="E878" ca="1">INDEX(Warehouses[Warehouse ID],RANDBETWEEN(1,8))</f>
        <v>W004</v>
      </c>
      <c r="F878">
        <f t="shared" ca="1" si="39"/>
        <v>3</v>
      </c>
      <c r="G878">
        <f ca="1">_xlfn.XLOOKUP(Orders[[#This Row],[Product ID]],Products[Product ID],Products[Selling Price])</f>
        <v>950</v>
      </c>
      <c r="H878" s="6">
        <f t="shared" ca="1" si="40"/>
        <v>0</v>
      </c>
      <c r="I878">
        <f ca="1">Orders[[#This Row],[Quantity]]*Orders[[#This Row],[Unit Price]]*(1-Orders[[#This Row],[Discount%]])</f>
        <v>2850</v>
      </c>
      <c r="J878" t="str" cm="1">
        <f t="array" aca="1" ref="J878" ca="1">INDEX(PaymentMethods[Payment Method],RANDBETWEEN(1,5))</f>
        <v>UPI</v>
      </c>
    </row>
    <row r="879" spans="1:10" x14ac:dyDescent="0.3">
      <c r="A879" t="str">
        <f t="shared" si="41"/>
        <v>O0878</v>
      </c>
      <c r="B879" s="6">
        <f ca="1">Orders[[#This Row],[Discount%]]</f>
        <v>0.14000000000000001</v>
      </c>
      <c r="C879" t="str" cm="1">
        <f t="array" aca="1" ref="C879" ca="1">INDEX(Customers[Customer ID],RANDBETWEEN(1,200))</f>
        <v>C135</v>
      </c>
      <c r="D879" t="str" cm="1">
        <f t="array" aca="1" ref="D879" ca="1">INDEX(Products[Product ID],RANDBETWEEN(1,50))</f>
        <v>P018</v>
      </c>
      <c r="E879" t="str" cm="1">
        <f t="array" aca="1" ref="E879" ca="1">INDEX(Warehouses[Warehouse ID],RANDBETWEEN(1,8))</f>
        <v>W001</v>
      </c>
      <c r="F879">
        <f t="shared" ca="1" si="39"/>
        <v>7</v>
      </c>
      <c r="G879">
        <f ca="1">_xlfn.XLOOKUP(Orders[[#This Row],[Product ID]],Products[Product ID],Products[Selling Price])</f>
        <v>1500</v>
      </c>
      <c r="H879" s="6">
        <f t="shared" ca="1" si="40"/>
        <v>0.14000000000000001</v>
      </c>
      <c r="I879">
        <f ca="1">Orders[[#This Row],[Quantity]]*Orders[[#This Row],[Unit Price]]*(1-Orders[[#This Row],[Discount%]])</f>
        <v>9030</v>
      </c>
      <c r="J879" t="str" cm="1">
        <f t="array" aca="1" ref="J879" ca="1">INDEX(PaymentMethods[Payment Method],RANDBETWEEN(1,5))</f>
        <v>Net Banking</v>
      </c>
    </row>
    <row r="880" spans="1:10" x14ac:dyDescent="0.3">
      <c r="A880" t="str">
        <f t="shared" si="41"/>
        <v>O0879</v>
      </c>
      <c r="B880" s="6">
        <f ca="1">Orders[[#This Row],[Discount%]]</f>
        <v>0.04</v>
      </c>
      <c r="C880" t="str" cm="1">
        <f t="array" aca="1" ref="C880" ca="1">INDEX(Customers[Customer ID],RANDBETWEEN(1,200))</f>
        <v>C032</v>
      </c>
      <c r="D880" t="str" cm="1">
        <f t="array" aca="1" ref="D880" ca="1">INDEX(Products[Product ID],RANDBETWEEN(1,50))</f>
        <v>P037</v>
      </c>
      <c r="E880" t="str" cm="1">
        <f t="array" aca="1" ref="E880" ca="1">INDEX(Warehouses[Warehouse ID],RANDBETWEEN(1,8))</f>
        <v>W006</v>
      </c>
      <c r="F880">
        <f t="shared" ca="1" si="39"/>
        <v>2</v>
      </c>
      <c r="G880">
        <f ca="1">_xlfn.XLOOKUP(Orders[[#This Row],[Product ID]],Products[Product ID],Products[Selling Price])</f>
        <v>550</v>
      </c>
      <c r="H880" s="6">
        <f t="shared" ca="1" si="40"/>
        <v>0.04</v>
      </c>
      <c r="I880">
        <f ca="1">Orders[[#This Row],[Quantity]]*Orders[[#This Row],[Unit Price]]*(1-Orders[[#This Row],[Discount%]])</f>
        <v>1056</v>
      </c>
      <c r="J880" t="str" cm="1">
        <f t="array" aca="1" ref="J880" ca="1">INDEX(PaymentMethods[Payment Method],RANDBETWEEN(1,5))</f>
        <v>Cash</v>
      </c>
    </row>
    <row r="881" spans="1:10" x14ac:dyDescent="0.3">
      <c r="A881" t="str">
        <f t="shared" si="41"/>
        <v>O0880</v>
      </c>
      <c r="B881" s="6">
        <f ca="1">Orders[[#This Row],[Discount%]]</f>
        <v>0.2</v>
      </c>
      <c r="C881" t="str" cm="1">
        <f t="array" aca="1" ref="C881" ca="1">INDEX(Customers[Customer ID],RANDBETWEEN(1,200))</f>
        <v>C180</v>
      </c>
      <c r="D881" t="str" cm="1">
        <f t="array" aca="1" ref="D881" ca="1">INDEX(Products[Product ID],RANDBETWEEN(1,50))</f>
        <v>P044</v>
      </c>
      <c r="E881" t="str" cm="1">
        <f t="array" aca="1" ref="E881" ca="1">INDEX(Warehouses[Warehouse ID],RANDBETWEEN(1,8))</f>
        <v>W006</v>
      </c>
      <c r="F881">
        <f t="shared" ca="1" si="39"/>
        <v>2</v>
      </c>
      <c r="G881">
        <f ca="1">_xlfn.XLOOKUP(Orders[[#This Row],[Product ID]],Products[Product ID],Products[Selling Price])</f>
        <v>8500</v>
      </c>
      <c r="H881" s="6">
        <f t="shared" ca="1" si="40"/>
        <v>0.2</v>
      </c>
      <c r="I881">
        <f ca="1">Orders[[#This Row],[Quantity]]*Orders[[#This Row],[Unit Price]]*(1-Orders[[#This Row],[Discount%]])</f>
        <v>13600</v>
      </c>
      <c r="J881" t="str" cm="1">
        <f t="array" aca="1" ref="J881" ca="1">INDEX(PaymentMethods[Payment Method],RANDBETWEEN(1,5))</f>
        <v>Debit Card</v>
      </c>
    </row>
    <row r="882" spans="1:10" x14ac:dyDescent="0.3">
      <c r="A882" t="str">
        <f t="shared" si="41"/>
        <v>O0881</v>
      </c>
      <c r="B882" s="6">
        <f ca="1">Orders[[#This Row],[Discount%]]</f>
        <v>0.11</v>
      </c>
      <c r="C882" t="str" cm="1">
        <f t="array" aca="1" ref="C882" ca="1">INDEX(Customers[Customer ID],RANDBETWEEN(1,200))</f>
        <v>C096</v>
      </c>
      <c r="D882" t="str" cm="1">
        <f t="array" aca="1" ref="D882" ca="1">INDEX(Products[Product ID],RANDBETWEEN(1,50))</f>
        <v>P037</v>
      </c>
      <c r="E882" t="str" cm="1">
        <f t="array" aca="1" ref="E882" ca="1">INDEX(Warehouses[Warehouse ID],RANDBETWEEN(1,8))</f>
        <v>W001</v>
      </c>
      <c r="F882">
        <f t="shared" ca="1" si="39"/>
        <v>1</v>
      </c>
      <c r="G882">
        <f ca="1">_xlfn.XLOOKUP(Orders[[#This Row],[Product ID]],Products[Product ID],Products[Selling Price])</f>
        <v>550</v>
      </c>
      <c r="H882" s="6">
        <f t="shared" ca="1" si="40"/>
        <v>0.11</v>
      </c>
      <c r="I882">
        <f ca="1">Orders[[#This Row],[Quantity]]*Orders[[#This Row],[Unit Price]]*(1-Orders[[#This Row],[Discount%]])</f>
        <v>489.5</v>
      </c>
      <c r="J882" t="str" cm="1">
        <f t="array" aca="1" ref="J882" ca="1">INDEX(PaymentMethods[Payment Method],RANDBETWEEN(1,5))</f>
        <v>Cash</v>
      </c>
    </row>
    <row r="883" spans="1:10" x14ac:dyDescent="0.3">
      <c r="A883" t="str">
        <f t="shared" si="41"/>
        <v>O0882</v>
      </c>
      <c r="B883" s="6">
        <f ca="1">Orders[[#This Row],[Discount%]]</f>
        <v>7.0000000000000007E-2</v>
      </c>
      <c r="C883" t="str" cm="1">
        <f t="array" aca="1" ref="C883" ca="1">INDEX(Customers[Customer ID],RANDBETWEEN(1,200))</f>
        <v>C104</v>
      </c>
      <c r="D883" t="str" cm="1">
        <f t="array" aca="1" ref="D883" ca="1">INDEX(Products[Product ID],RANDBETWEEN(1,50))</f>
        <v>P005</v>
      </c>
      <c r="E883" t="str" cm="1">
        <f t="array" aca="1" ref="E883" ca="1">INDEX(Warehouses[Warehouse ID],RANDBETWEEN(1,8))</f>
        <v>W002</v>
      </c>
      <c r="F883">
        <f t="shared" ca="1" si="39"/>
        <v>9</v>
      </c>
      <c r="G883">
        <f ca="1">_xlfn.XLOOKUP(Orders[[#This Row],[Product ID]],Products[Product ID],Products[Selling Price])</f>
        <v>10500</v>
      </c>
      <c r="H883" s="6">
        <f t="shared" ca="1" si="40"/>
        <v>7.0000000000000007E-2</v>
      </c>
      <c r="I883">
        <f ca="1">Orders[[#This Row],[Quantity]]*Orders[[#This Row],[Unit Price]]*(1-Orders[[#This Row],[Discount%]])</f>
        <v>87885</v>
      </c>
      <c r="J883" t="str" cm="1">
        <f t="array" aca="1" ref="J883" ca="1">INDEX(PaymentMethods[Payment Method],RANDBETWEEN(1,5))</f>
        <v>Debit Card</v>
      </c>
    </row>
    <row r="884" spans="1:10" x14ac:dyDescent="0.3">
      <c r="A884" t="str">
        <f t="shared" si="41"/>
        <v>O0883</v>
      </c>
      <c r="B884" s="6">
        <f ca="1">Orders[[#This Row],[Discount%]]</f>
        <v>0.13</v>
      </c>
      <c r="C884" t="str" cm="1">
        <f t="array" aca="1" ref="C884" ca="1">INDEX(Customers[Customer ID],RANDBETWEEN(1,200))</f>
        <v>C075</v>
      </c>
      <c r="D884" t="str" cm="1">
        <f t="array" aca="1" ref="D884" ca="1">INDEX(Products[Product ID],RANDBETWEEN(1,50))</f>
        <v>P027</v>
      </c>
      <c r="E884" t="str" cm="1">
        <f t="array" aca="1" ref="E884" ca="1">INDEX(Warehouses[Warehouse ID],RANDBETWEEN(1,8))</f>
        <v>W008</v>
      </c>
      <c r="F884">
        <f t="shared" ca="1" si="39"/>
        <v>3</v>
      </c>
      <c r="G884">
        <f ca="1">_xlfn.XLOOKUP(Orders[[#This Row],[Product ID]],Products[Product ID],Products[Selling Price])</f>
        <v>4000</v>
      </c>
      <c r="H884" s="6">
        <f t="shared" ca="1" si="40"/>
        <v>0.13</v>
      </c>
      <c r="I884">
        <f ca="1">Orders[[#This Row],[Quantity]]*Orders[[#This Row],[Unit Price]]*(1-Orders[[#This Row],[Discount%]])</f>
        <v>10440</v>
      </c>
      <c r="J884" t="str" cm="1">
        <f t="array" aca="1" ref="J884" ca="1">INDEX(PaymentMethods[Payment Method],RANDBETWEEN(1,5))</f>
        <v>Cash</v>
      </c>
    </row>
    <row r="885" spans="1:10" x14ac:dyDescent="0.3">
      <c r="A885" t="str">
        <f t="shared" si="41"/>
        <v>O0884</v>
      </c>
      <c r="B885" s="6">
        <f ca="1">Orders[[#This Row],[Discount%]]</f>
        <v>0.1</v>
      </c>
      <c r="C885" t="str" cm="1">
        <f t="array" aca="1" ref="C885" ca="1">INDEX(Customers[Customer ID],RANDBETWEEN(1,200))</f>
        <v>C063</v>
      </c>
      <c r="D885" t="str" cm="1">
        <f t="array" aca="1" ref="D885" ca="1">INDEX(Products[Product ID],RANDBETWEEN(1,50))</f>
        <v>P008</v>
      </c>
      <c r="E885" t="str" cm="1">
        <f t="array" aca="1" ref="E885" ca="1">INDEX(Warehouses[Warehouse ID],RANDBETWEEN(1,8))</f>
        <v>W001</v>
      </c>
      <c r="F885">
        <f t="shared" ca="1" si="39"/>
        <v>2</v>
      </c>
      <c r="G885">
        <f ca="1">_xlfn.XLOOKUP(Orders[[#This Row],[Product ID]],Products[Product ID],Products[Selling Price])</f>
        <v>4200</v>
      </c>
      <c r="H885" s="6">
        <f t="shared" ca="1" si="40"/>
        <v>0.1</v>
      </c>
      <c r="I885">
        <f ca="1">Orders[[#This Row],[Quantity]]*Orders[[#This Row],[Unit Price]]*(1-Orders[[#This Row],[Discount%]])</f>
        <v>7560</v>
      </c>
      <c r="J885" t="str" cm="1">
        <f t="array" aca="1" ref="J885" ca="1">INDEX(PaymentMethods[Payment Method],RANDBETWEEN(1,5))</f>
        <v>Cash</v>
      </c>
    </row>
    <row r="886" spans="1:10" x14ac:dyDescent="0.3">
      <c r="A886" t="str">
        <f t="shared" si="41"/>
        <v>O0885</v>
      </c>
      <c r="B886" s="6">
        <f ca="1">Orders[[#This Row],[Discount%]]</f>
        <v>0.16</v>
      </c>
      <c r="C886" t="str" cm="1">
        <f t="array" aca="1" ref="C886" ca="1">INDEX(Customers[Customer ID],RANDBETWEEN(1,200))</f>
        <v>C006</v>
      </c>
      <c r="D886" t="str" cm="1">
        <f t="array" aca="1" ref="D886" ca="1">INDEX(Products[Product ID],RANDBETWEEN(1,50))</f>
        <v>P007</v>
      </c>
      <c r="E886" t="str" cm="1">
        <f t="array" aca="1" ref="E886" ca="1">INDEX(Warehouses[Warehouse ID],RANDBETWEEN(1,8))</f>
        <v>W004</v>
      </c>
      <c r="F886">
        <f t="shared" ca="1" si="39"/>
        <v>1</v>
      </c>
      <c r="G886">
        <f ca="1">_xlfn.XLOOKUP(Orders[[#This Row],[Product ID]],Products[Product ID],Products[Selling Price])</f>
        <v>6000</v>
      </c>
      <c r="H886" s="6">
        <f t="shared" ca="1" si="40"/>
        <v>0.16</v>
      </c>
      <c r="I886">
        <f ca="1">Orders[[#This Row],[Quantity]]*Orders[[#This Row],[Unit Price]]*(1-Orders[[#This Row],[Discount%]])</f>
        <v>5040</v>
      </c>
      <c r="J886" t="str" cm="1">
        <f t="array" aca="1" ref="J886" ca="1">INDEX(PaymentMethods[Payment Method],RANDBETWEEN(1,5))</f>
        <v>Credit Card</v>
      </c>
    </row>
    <row r="887" spans="1:10" x14ac:dyDescent="0.3">
      <c r="A887" t="str">
        <f t="shared" si="41"/>
        <v>O0886</v>
      </c>
      <c r="B887" s="6">
        <f ca="1">Orders[[#This Row],[Discount%]]</f>
        <v>0.17</v>
      </c>
      <c r="C887" t="str" cm="1">
        <f t="array" aca="1" ref="C887" ca="1">INDEX(Customers[Customer ID],RANDBETWEEN(1,200))</f>
        <v>C008</v>
      </c>
      <c r="D887" t="str" cm="1">
        <f t="array" aca="1" ref="D887" ca="1">INDEX(Products[Product ID],RANDBETWEEN(1,50))</f>
        <v>P028</v>
      </c>
      <c r="E887" t="str" cm="1">
        <f t="array" aca="1" ref="E887" ca="1">INDEX(Warehouses[Warehouse ID],RANDBETWEEN(1,8))</f>
        <v>W005</v>
      </c>
      <c r="F887">
        <f t="shared" ca="1" si="39"/>
        <v>9</v>
      </c>
      <c r="G887">
        <f ca="1">_xlfn.XLOOKUP(Orders[[#This Row],[Product ID]],Products[Product ID],Products[Selling Price])</f>
        <v>16500</v>
      </c>
      <c r="H887" s="6">
        <f t="shared" ca="1" si="40"/>
        <v>0.17</v>
      </c>
      <c r="I887">
        <f ca="1">Orders[[#This Row],[Quantity]]*Orders[[#This Row],[Unit Price]]*(1-Orders[[#This Row],[Discount%]])</f>
        <v>123255</v>
      </c>
      <c r="J887" t="str" cm="1">
        <f t="array" aca="1" ref="J887" ca="1">INDEX(PaymentMethods[Payment Method],RANDBETWEEN(1,5))</f>
        <v>Debit Card</v>
      </c>
    </row>
    <row r="888" spans="1:10" x14ac:dyDescent="0.3">
      <c r="A888" t="str">
        <f t="shared" si="41"/>
        <v>O0887</v>
      </c>
      <c r="B888" s="6">
        <f ca="1">Orders[[#This Row],[Discount%]]</f>
        <v>0.08</v>
      </c>
      <c r="C888" t="str" cm="1">
        <f t="array" aca="1" ref="C888" ca="1">INDEX(Customers[Customer ID],RANDBETWEEN(1,200))</f>
        <v>C126</v>
      </c>
      <c r="D888" t="str" cm="1">
        <f t="array" aca="1" ref="D888" ca="1">INDEX(Products[Product ID],RANDBETWEEN(1,50))</f>
        <v>P009</v>
      </c>
      <c r="E888" t="str" cm="1">
        <f t="array" aca="1" ref="E888" ca="1">INDEX(Warehouses[Warehouse ID],RANDBETWEEN(1,8))</f>
        <v>W004</v>
      </c>
      <c r="F888">
        <f t="shared" ca="1" si="39"/>
        <v>9</v>
      </c>
      <c r="G888">
        <f ca="1">_xlfn.XLOOKUP(Orders[[#This Row],[Product ID]],Products[Product ID],Products[Selling Price])</f>
        <v>20000</v>
      </c>
      <c r="H888" s="6">
        <f t="shared" ca="1" si="40"/>
        <v>0.08</v>
      </c>
      <c r="I888">
        <f ca="1">Orders[[#This Row],[Quantity]]*Orders[[#This Row],[Unit Price]]*(1-Orders[[#This Row],[Discount%]])</f>
        <v>165600</v>
      </c>
      <c r="J888" t="str" cm="1">
        <f t="array" aca="1" ref="J888" ca="1">INDEX(PaymentMethods[Payment Method],RANDBETWEEN(1,5))</f>
        <v>Credit Card</v>
      </c>
    </row>
    <row r="889" spans="1:10" x14ac:dyDescent="0.3">
      <c r="A889" t="str">
        <f t="shared" si="41"/>
        <v>O0888</v>
      </c>
      <c r="B889" s="6">
        <f ca="1">Orders[[#This Row],[Discount%]]</f>
        <v>7.0000000000000007E-2</v>
      </c>
      <c r="C889" t="str" cm="1">
        <f t="array" aca="1" ref="C889" ca="1">INDEX(Customers[Customer ID],RANDBETWEEN(1,200))</f>
        <v>C124</v>
      </c>
      <c r="D889" t="str" cm="1">
        <f t="array" aca="1" ref="D889" ca="1">INDEX(Products[Product ID],RANDBETWEEN(1,50))</f>
        <v>P027</v>
      </c>
      <c r="E889" t="str" cm="1">
        <f t="array" aca="1" ref="E889" ca="1">INDEX(Warehouses[Warehouse ID],RANDBETWEEN(1,8))</f>
        <v>W008</v>
      </c>
      <c r="F889">
        <f t="shared" ca="1" si="39"/>
        <v>9</v>
      </c>
      <c r="G889">
        <f ca="1">_xlfn.XLOOKUP(Orders[[#This Row],[Product ID]],Products[Product ID],Products[Selling Price])</f>
        <v>4000</v>
      </c>
      <c r="H889" s="6">
        <f t="shared" ca="1" si="40"/>
        <v>7.0000000000000007E-2</v>
      </c>
      <c r="I889">
        <f ca="1">Orders[[#This Row],[Quantity]]*Orders[[#This Row],[Unit Price]]*(1-Orders[[#This Row],[Discount%]])</f>
        <v>33480</v>
      </c>
      <c r="J889" t="str" cm="1">
        <f t="array" aca="1" ref="J889" ca="1">INDEX(PaymentMethods[Payment Method],RANDBETWEEN(1,5))</f>
        <v>Net Banking</v>
      </c>
    </row>
    <row r="890" spans="1:10" x14ac:dyDescent="0.3">
      <c r="A890" t="str">
        <f t="shared" si="41"/>
        <v>O0889</v>
      </c>
      <c r="B890" s="6">
        <f ca="1">Orders[[#This Row],[Discount%]]</f>
        <v>0.05</v>
      </c>
      <c r="C890" t="str" cm="1">
        <f t="array" aca="1" ref="C890" ca="1">INDEX(Customers[Customer ID],RANDBETWEEN(1,200))</f>
        <v>C122</v>
      </c>
      <c r="D890" t="str" cm="1">
        <f t="array" aca="1" ref="D890" ca="1">INDEX(Products[Product ID],RANDBETWEEN(1,50))</f>
        <v>P018</v>
      </c>
      <c r="E890" t="str" cm="1">
        <f t="array" aca="1" ref="E890" ca="1">INDEX(Warehouses[Warehouse ID],RANDBETWEEN(1,8))</f>
        <v>W008</v>
      </c>
      <c r="F890">
        <f t="shared" ca="1" si="39"/>
        <v>9</v>
      </c>
      <c r="G890">
        <f ca="1">_xlfn.XLOOKUP(Orders[[#This Row],[Product ID]],Products[Product ID],Products[Selling Price])</f>
        <v>1500</v>
      </c>
      <c r="H890" s="6">
        <f t="shared" ca="1" si="40"/>
        <v>0.05</v>
      </c>
      <c r="I890">
        <f ca="1">Orders[[#This Row],[Quantity]]*Orders[[#This Row],[Unit Price]]*(1-Orders[[#This Row],[Discount%]])</f>
        <v>12825</v>
      </c>
      <c r="J890" t="str" cm="1">
        <f t="array" aca="1" ref="J890" ca="1">INDEX(PaymentMethods[Payment Method],RANDBETWEEN(1,5))</f>
        <v>UPI</v>
      </c>
    </row>
    <row r="891" spans="1:10" x14ac:dyDescent="0.3">
      <c r="A891" t="str">
        <f t="shared" si="41"/>
        <v>O0890</v>
      </c>
      <c r="B891" s="6">
        <f ca="1">Orders[[#This Row],[Discount%]]</f>
        <v>0.1</v>
      </c>
      <c r="C891" t="str" cm="1">
        <f t="array" aca="1" ref="C891" ca="1">INDEX(Customers[Customer ID],RANDBETWEEN(1,200))</f>
        <v>C142</v>
      </c>
      <c r="D891" t="str" cm="1">
        <f t="array" aca="1" ref="D891" ca="1">INDEX(Products[Product ID],RANDBETWEEN(1,50))</f>
        <v>P015</v>
      </c>
      <c r="E891" t="str" cm="1">
        <f t="array" aca="1" ref="E891" ca="1">INDEX(Warehouses[Warehouse ID],RANDBETWEEN(1,8))</f>
        <v>W008</v>
      </c>
      <c r="F891">
        <f t="shared" ca="1" si="39"/>
        <v>8</v>
      </c>
      <c r="G891">
        <f ca="1">_xlfn.XLOOKUP(Orders[[#This Row],[Product ID]],Products[Product ID],Products[Selling Price])</f>
        <v>1800</v>
      </c>
      <c r="H891" s="6">
        <f t="shared" ca="1" si="40"/>
        <v>0.1</v>
      </c>
      <c r="I891">
        <f ca="1">Orders[[#This Row],[Quantity]]*Orders[[#This Row],[Unit Price]]*(1-Orders[[#This Row],[Discount%]])</f>
        <v>12960</v>
      </c>
      <c r="J891" t="str" cm="1">
        <f t="array" aca="1" ref="J891" ca="1">INDEX(PaymentMethods[Payment Method],RANDBETWEEN(1,5))</f>
        <v>Cash</v>
      </c>
    </row>
    <row r="892" spans="1:10" x14ac:dyDescent="0.3">
      <c r="A892" t="str">
        <f t="shared" si="41"/>
        <v>O0891</v>
      </c>
      <c r="B892" s="6">
        <f ca="1">Orders[[#This Row],[Discount%]]</f>
        <v>7.0000000000000007E-2</v>
      </c>
      <c r="C892" t="str" cm="1">
        <f t="array" aca="1" ref="C892" ca="1">INDEX(Customers[Customer ID],RANDBETWEEN(1,200))</f>
        <v>C090</v>
      </c>
      <c r="D892" t="str" cm="1">
        <f t="array" aca="1" ref="D892" ca="1">INDEX(Products[Product ID],RANDBETWEEN(1,50))</f>
        <v>P005</v>
      </c>
      <c r="E892" t="str" cm="1">
        <f t="array" aca="1" ref="E892" ca="1">INDEX(Warehouses[Warehouse ID],RANDBETWEEN(1,8))</f>
        <v>W001</v>
      </c>
      <c r="F892">
        <f t="shared" ca="1" si="39"/>
        <v>2</v>
      </c>
      <c r="G892">
        <f ca="1">_xlfn.XLOOKUP(Orders[[#This Row],[Product ID]],Products[Product ID],Products[Selling Price])</f>
        <v>10500</v>
      </c>
      <c r="H892" s="6">
        <f t="shared" ca="1" si="40"/>
        <v>7.0000000000000007E-2</v>
      </c>
      <c r="I892">
        <f ca="1">Orders[[#This Row],[Quantity]]*Orders[[#This Row],[Unit Price]]*(1-Orders[[#This Row],[Discount%]])</f>
        <v>19530</v>
      </c>
      <c r="J892" t="str" cm="1">
        <f t="array" aca="1" ref="J892" ca="1">INDEX(PaymentMethods[Payment Method],RANDBETWEEN(1,5))</f>
        <v>Net Banking</v>
      </c>
    </row>
    <row r="893" spans="1:10" x14ac:dyDescent="0.3">
      <c r="A893" t="str">
        <f t="shared" si="41"/>
        <v>O0892</v>
      </c>
      <c r="B893" s="6">
        <f ca="1">Orders[[#This Row],[Discount%]]</f>
        <v>0.08</v>
      </c>
      <c r="C893" t="str" cm="1">
        <f t="array" aca="1" ref="C893" ca="1">INDEX(Customers[Customer ID],RANDBETWEEN(1,200))</f>
        <v>C126</v>
      </c>
      <c r="D893" t="str" cm="1">
        <f t="array" aca="1" ref="D893" ca="1">INDEX(Products[Product ID],RANDBETWEEN(1,50))</f>
        <v>P031</v>
      </c>
      <c r="E893" t="str" cm="1">
        <f t="array" aca="1" ref="E893" ca="1">INDEX(Warehouses[Warehouse ID],RANDBETWEEN(1,8))</f>
        <v>W001</v>
      </c>
      <c r="F893">
        <f t="shared" ca="1" si="39"/>
        <v>4</v>
      </c>
      <c r="G893">
        <f ca="1">_xlfn.XLOOKUP(Orders[[#This Row],[Product ID]],Products[Product ID],Products[Selling Price])</f>
        <v>90</v>
      </c>
      <c r="H893" s="6">
        <f t="shared" ca="1" si="40"/>
        <v>0.08</v>
      </c>
      <c r="I893">
        <f ca="1">Orders[[#This Row],[Quantity]]*Orders[[#This Row],[Unit Price]]*(1-Orders[[#This Row],[Discount%]])</f>
        <v>331.2</v>
      </c>
      <c r="J893" t="str" cm="1">
        <f t="array" aca="1" ref="J893" ca="1">INDEX(PaymentMethods[Payment Method],RANDBETWEEN(1,5))</f>
        <v>UPI</v>
      </c>
    </row>
    <row r="894" spans="1:10" x14ac:dyDescent="0.3">
      <c r="A894" t="str">
        <f t="shared" si="41"/>
        <v>O0893</v>
      </c>
      <c r="B894" s="6">
        <f ca="1">Orders[[#This Row],[Discount%]]</f>
        <v>0.09</v>
      </c>
      <c r="C894" t="str" cm="1">
        <f t="array" aca="1" ref="C894" ca="1">INDEX(Customers[Customer ID],RANDBETWEEN(1,200))</f>
        <v>C101</v>
      </c>
      <c r="D894" t="str" cm="1">
        <f t="array" aca="1" ref="D894" ca="1">INDEX(Products[Product ID],RANDBETWEEN(1,50))</f>
        <v>P048</v>
      </c>
      <c r="E894" t="str" cm="1">
        <f t="array" aca="1" ref="E894" ca="1">INDEX(Warehouses[Warehouse ID],RANDBETWEEN(1,8))</f>
        <v>W006</v>
      </c>
      <c r="F894">
        <f t="shared" ca="1" si="39"/>
        <v>9</v>
      </c>
      <c r="G894">
        <f ca="1">_xlfn.XLOOKUP(Orders[[#This Row],[Product ID]],Products[Product ID],Products[Selling Price])</f>
        <v>1200</v>
      </c>
      <c r="H894" s="6">
        <f t="shared" ca="1" si="40"/>
        <v>0.09</v>
      </c>
      <c r="I894">
        <f ca="1">Orders[[#This Row],[Quantity]]*Orders[[#This Row],[Unit Price]]*(1-Orders[[#This Row],[Discount%]])</f>
        <v>9828</v>
      </c>
      <c r="J894" t="str" cm="1">
        <f t="array" aca="1" ref="J894" ca="1">INDEX(PaymentMethods[Payment Method],RANDBETWEEN(1,5))</f>
        <v>Credit Card</v>
      </c>
    </row>
    <row r="895" spans="1:10" x14ac:dyDescent="0.3">
      <c r="A895" t="str">
        <f t="shared" si="41"/>
        <v>O0894</v>
      </c>
      <c r="B895" s="6">
        <f ca="1">Orders[[#This Row],[Discount%]]</f>
        <v>0.05</v>
      </c>
      <c r="C895" t="str" cm="1">
        <f t="array" aca="1" ref="C895" ca="1">INDEX(Customers[Customer ID],RANDBETWEEN(1,200))</f>
        <v>C187</v>
      </c>
      <c r="D895" t="str" cm="1">
        <f t="array" aca="1" ref="D895" ca="1">INDEX(Products[Product ID],RANDBETWEEN(1,50))</f>
        <v>P013</v>
      </c>
      <c r="E895" t="str" cm="1">
        <f t="array" aca="1" ref="E895" ca="1">INDEX(Warehouses[Warehouse ID],RANDBETWEEN(1,8))</f>
        <v>W005</v>
      </c>
      <c r="F895">
        <f t="shared" ca="1" si="39"/>
        <v>1</v>
      </c>
      <c r="G895">
        <f ca="1">_xlfn.XLOOKUP(Orders[[#This Row],[Product ID]],Products[Product ID],Products[Selling Price])</f>
        <v>25</v>
      </c>
      <c r="H895" s="6">
        <f t="shared" ca="1" si="40"/>
        <v>0.05</v>
      </c>
      <c r="I895">
        <f ca="1">Orders[[#This Row],[Quantity]]*Orders[[#This Row],[Unit Price]]*(1-Orders[[#This Row],[Discount%]])</f>
        <v>23.75</v>
      </c>
      <c r="J895" t="str" cm="1">
        <f t="array" aca="1" ref="J895" ca="1">INDEX(PaymentMethods[Payment Method],RANDBETWEEN(1,5))</f>
        <v>Cash</v>
      </c>
    </row>
    <row r="896" spans="1:10" x14ac:dyDescent="0.3">
      <c r="A896" t="str">
        <f t="shared" si="41"/>
        <v>O0895</v>
      </c>
      <c r="B896" s="6">
        <f ca="1">Orders[[#This Row],[Discount%]]</f>
        <v>0.11</v>
      </c>
      <c r="C896" t="str" cm="1">
        <f t="array" aca="1" ref="C896" ca="1">INDEX(Customers[Customer ID],RANDBETWEEN(1,200))</f>
        <v>C173</v>
      </c>
      <c r="D896" t="str" cm="1">
        <f t="array" aca="1" ref="D896" ca="1">INDEX(Products[Product ID],RANDBETWEEN(1,50))</f>
        <v>P015</v>
      </c>
      <c r="E896" t="str" cm="1">
        <f t="array" aca="1" ref="E896" ca="1">INDEX(Warehouses[Warehouse ID],RANDBETWEEN(1,8))</f>
        <v>W008</v>
      </c>
      <c r="F896">
        <f t="shared" ca="1" si="39"/>
        <v>7</v>
      </c>
      <c r="G896">
        <f ca="1">_xlfn.XLOOKUP(Orders[[#This Row],[Product ID]],Products[Product ID],Products[Selling Price])</f>
        <v>1800</v>
      </c>
      <c r="H896" s="6">
        <f t="shared" ca="1" si="40"/>
        <v>0.11</v>
      </c>
      <c r="I896">
        <f ca="1">Orders[[#This Row],[Quantity]]*Orders[[#This Row],[Unit Price]]*(1-Orders[[#This Row],[Discount%]])</f>
        <v>11214</v>
      </c>
      <c r="J896" t="str" cm="1">
        <f t="array" aca="1" ref="J896" ca="1">INDEX(PaymentMethods[Payment Method],RANDBETWEEN(1,5))</f>
        <v>Credit Card</v>
      </c>
    </row>
    <row r="897" spans="1:10" x14ac:dyDescent="0.3">
      <c r="A897" t="str">
        <f t="shared" si="41"/>
        <v>O0896</v>
      </c>
      <c r="B897" s="6">
        <f ca="1">Orders[[#This Row],[Discount%]]</f>
        <v>0.09</v>
      </c>
      <c r="C897" t="str" cm="1">
        <f t="array" aca="1" ref="C897" ca="1">INDEX(Customers[Customer ID],RANDBETWEEN(1,200))</f>
        <v>C110</v>
      </c>
      <c r="D897" t="str" cm="1">
        <f t="array" aca="1" ref="D897" ca="1">INDEX(Products[Product ID],RANDBETWEEN(1,50))</f>
        <v>P017</v>
      </c>
      <c r="E897" t="str" cm="1">
        <f t="array" aca="1" ref="E897" ca="1">INDEX(Warehouses[Warehouse ID],RANDBETWEEN(1,8))</f>
        <v>W004</v>
      </c>
      <c r="F897">
        <f t="shared" ca="1" si="39"/>
        <v>6</v>
      </c>
      <c r="G897">
        <f ca="1">_xlfn.XLOOKUP(Orders[[#This Row],[Product ID]],Products[Product ID],Products[Selling Price])</f>
        <v>650</v>
      </c>
      <c r="H897" s="6">
        <f t="shared" ca="1" si="40"/>
        <v>0.09</v>
      </c>
      <c r="I897">
        <f ca="1">Orders[[#This Row],[Quantity]]*Orders[[#This Row],[Unit Price]]*(1-Orders[[#This Row],[Discount%]])</f>
        <v>3549</v>
      </c>
      <c r="J897" t="str" cm="1">
        <f t="array" aca="1" ref="J897" ca="1">INDEX(PaymentMethods[Payment Method],RANDBETWEEN(1,5))</f>
        <v>Credit Card</v>
      </c>
    </row>
    <row r="898" spans="1:10" x14ac:dyDescent="0.3">
      <c r="A898" t="str">
        <f t="shared" si="41"/>
        <v>O0897</v>
      </c>
      <c r="B898" s="6">
        <f ca="1">Orders[[#This Row],[Discount%]]</f>
        <v>0.09</v>
      </c>
      <c r="C898" t="str" cm="1">
        <f t="array" aca="1" ref="C898" ca="1">INDEX(Customers[Customer ID],RANDBETWEEN(1,200))</f>
        <v>C033</v>
      </c>
      <c r="D898" t="str" cm="1">
        <f t="array" aca="1" ref="D898" ca="1">INDEX(Products[Product ID],RANDBETWEEN(1,50))</f>
        <v>P044</v>
      </c>
      <c r="E898" t="str" cm="1">
        <f t="array" aca="1" ref="E898" ca="1">INDEX(Warehouses[Warehouse ID],RANDBETWEEN(1,8))</f>
        <v>W007</v>
      </c>
      <c r="F898">
        <f t="shared" ref="F898:F961" ca="1" si="42">RANDBETWEEN(1,10)</f>
        <v>1</v>
      </c>
      <c r="G898">
        <f ca="1">_xlfn.XLOOKUP(Orders[[#This Row],[Product ID]],Products[Product ID],Products[Selling Price])</f>
        <v>8500</v>
      </c>
      <c r="H898" s="6">
        <f t="shared" ref="H898:H961" ca="1" si="43">RANDBETWEEN(0,20)/100</f>
        <v>0.09</v>
      </c>
      <c r="I898">
        <f ca="1">Orders[[#This Row],[Quantity]]*Orders[[#This Row],[Unit Price]]*(1-Orders[[#This Row],[Discount%]])</f>
        <v>7735</v>
      </c>
      <c r="J898" t="str" cm="1">
        <f t="array" aca="1" ref="J898" ca="1">INDEX(PaymentMethods[Payment Method],RANDBETWEEN(1,5))</f>
        <v>UPI</v>
      </c>
    </row>
    <row r="899" spans="1:10" x14ac:dyDescent="0.3">
      <c r="A899" t="str">
        <f t="shared" ref="A899:A962" si="44">"O"&amp;TEXT(ROW()-1,"0000")</f>
        <v>O0898</v>
      </c>
      <c r="B899" s="6">
        <f ca="1">Orders[[#This Row],[Discount%]]</f>
        <v>0.08</v>
      </c>
      <c r="C899" t="str" cm="1">
        <f t="array" aca="1" ref="C899" ca="1">INDEX(Customers[Customer ID],RANDBETWEEN(1,200))</f>
        <v>C144</v>
      </c>
      <c r="D899" t="str" cm="1">
        <f t="array" aca="1" ref="D899" ca="1">INDEX(Products[Product ID],RANDBETWEEN(1,50))</f>
        <v>P030</v>
      </c>
      <c r="E899" t="str" cm="1">
        <f t="array" aca="1" ref="E899" ca="1">INDEX(Warehouses[Warehouse ID],RANDBETWEEN(1,8))</f>
        <v>W002</v>
      </c>
      <c r="F899">
        <f t="shared" ca="1" si="42"/>
        <v>9</v>
      </c>
      <c r="G899">
        <f ca="1">_xlfn.XLOOKUP(Orders[[#This Row],[Product ID]],Products[Product ID],Products[Selling Price])</f>
        <v>4800</v>
      </c>
      <c r="H899" s="6">
        <f t="shared" ca="1" si="43"/>
        <v>0.08</v>
      </c>
      <c r="I899">
        <f ca="1">Orders[[#This Row],[Quantity]]*Orders[[#This Row],[Unit Price]]*(1-Orders[[#This Row],[Discount%]])</f>
        <v>39744</v>
      </c>
      <c r="J899" t="str" cm="1">
        <f t="array" aca="1" ref="J899" ca="1">INDEX(PaymentMethods[Payment Method],RANDBETWEEN(1,5))</f>
        <v>UPI</v>
      </c>
    </row>
    <row r="900" spans="1:10" x14ac:dyDescent="0.3">
      <c r="A900" t="str">
        <f t="shared" si="44"/>
        <v>O0899</v>
      </c>
      <c r="B900" s="6">
        <f ca="1">Orders[[#This Row],[Discount%]]</f>
        <v>0.03</v>
      </c>
      <c r="C900" t="str" cm="1">
        <f t="array" aca="1" ref="C900" ca="1">INDEX(Customers[Customer ID],RANDBETWEEN(1,200))</f>
        <v>C118</v>
      </c>
      <c r="D900" t="str" cm="1">
        <f t="array" aca="1" ref="D900" ca="1">INDEX(Products[Product ID],RANDBETWEEN(1,50))</f>
        <v>P039</v>
      </c>
      <c r="E900" t="str" cm="1">
        <f t="array" aca="1" ref="E900" ca="1">INDEX(Warehouses[Warehouse ID],RANDBETWEEN(1,8))</f>
        <v>W005</v>
      </c>
      <c r="F900">
        <f t="shared" ca="1" si="42"/>
        <v>4</v>
      </c>
      <c r="G900">
        <f ca="1">_xlfn.XLOOKUP(Orders[[#This Row],[Product ID]],Products[Product ID],Products[Selling Price])</f>
        <v>250</v>
      </c>
      <c r="H900" s="6">
        <f t="shared" ca="1" si="43"/>
        <v>0.03</v>
      </c>
      <c r="I900">
        <f ca="1">Orders[[#This Row],[Quantity]]*Orders[[#This Row],[Unit Price]]*(1-Orders[[#This Row],[Discount%]])</f>
        <v>970</v>
      </c>
      <c r="J900" t="str" cm="1">
        <f t="array" aca="1" ref="J900" ca="1">INDEX(PaymentMethods[Payment Method],RANDBETWEEN(1,5))</f>
        <v>UPI</v>
      </c>
    </row>
    <row r="901" spans="1:10" x14ac:dyDescent="0.3">
      <c r="A901" t="str">
        <f t="shared" si="44"/>
        <v>O0900</v>
      </c>
      <c r="B901" s="6">
        <f ca="1">Orders[[#This Row],[Discount%]]</f>
        <v>0.18</v>
      </c>
      <c r="C901" t="str" cm="1">
        <f t="array" aca="1" ref="C901" ca="1">INDEX(Customers[Customer ID],RANDBETWEEN(1,200))</f>
        <v>C041</v>
      </c>
      <c r="D901" t="str" cm="1">
        <f t="array" aca="1" ref="D901" ca="1">INDEX(Products[Product ID],RANDBETWEEN(1,50))</f>
        <v>P037</v>
      </c>
      <c r="E901" t="str" cm="1">
        <f t="array" aca="1" ref="E901" ca="1">INDEX(Warehouses[Warehouse ID],RANDBETWEEN(1,8))</f>
        <v>W005</v>
      </c>
      <c r="F901">
        <f t="shared" ca="1" si="42"/>
        <v>4</v>
      </c>
      <c r="G901">
        <f ca="1">_xlfn.XLOOKUP(Orders[[#This Row],[Product ID]],Products[Product ID],Products[Selling Price])</f>
        <v>550</v>
      </c>
      <c r="H901" s="6">
        <f t="shared" ca="1" si="43"/>
        <v>0.18</v>
      </c>
      <c r="I901">
        <f ca="1">Orders[[#This Row],[Quantity]]*Orders[[#This Row],[Unit Price]]*(1-Orders[[#This Row],[Discount%]])</f>
        <v>1804.0000000000002</v>
      </c>
      <c r="J901" t="str" cm="1">
        <f t="array" aca="1" ref="J901" ca="1">INDEX(PaymentMethods[Payment Method],RANDBETWEEN(1,5))</f>
        <v>Net Banking</v>
      </c>
    </row>
    <row r="902" spans="1:10" x14ac:dyDescent="0.3">
      <c r="A902" t="str">
        <f t="shared" si="44"/>
        <v>O0901</v>
      </c>
      <c r="B902" s="6">
        <f ca="1">Orders[[#This Row],[Discount%]]</f>
        <v>7.0000000000000007E-2</v>
      </c>
      <c r="C902" t="str" cm="1">
        <f t="array" aca="1" ref="C902" ca="1">INDEX(Customers[Customer ID],RANDBETWEEN(1,200))</f>
        <v>C184</v>
      </c>
      <c r="D902" t="str" cm="1">
        <f t="array" aca="1" ref="D902" ca="1">INDEX(Products[Product ID],RANDBETWEEN(1,50))</f>
        <v>P048</v>
      </c>
      <c r="E902" t="str" cm="1">
        <f t="array" aca="1" ref="E902" ca="1">INDEX(Warehouses[Warehouse ID],RANDBETWEEN(1,8))</f>
        <v>W006</v>
      </c>
      <c r="F902">
        <f t="shared" ca="1" si="42"/>
        <v>8</v>
      </c>
      <c r="G902">
        <f ca="1">_xlfn.XLOOKUP(Orders[[#This Row],[Product ID]],Products[Product ID],Products[Selling Price])</f>
        <v>1200</v>
      </c>
      <c r="H902" s="6">
        <f t="shared" ca="1" si="43"/>
        <v>7.0000000000000007E-2</v>
      </c>
      <c r="I902">
        <f ca="1">Orders[[#This Row],[Quantity]]*Orders[[#This Row],[Unit Price]]*(1-Orders[[#This Row],[Discount%]])</f>
        <v>8928</v>
      </c>
      <c r="J902" t="str" cm="1">
        <f t="array" aca="1" ref="J902" ca="1">INDEX(PaymentMethods[Payment Method],RANDBETWEEN(1,5))</f>
        <v>Cash</v>
      </c>
    </row>
    <row r="903" spans="1:10" x14ac:dyDescent="0.3">
      <c r="A903" t="str">
        <f t="shared" si="44"/>
        <v>O0902</v>
      </c>
      <c r="B903" s="6">
        <f ca="1">Orders[[#This Row],[Discount%]]</f>
        <v>0.19</v>
      </c>
      <c r="C903" t="str" cm="1">
        <f t="array" aca="1" ref="C903" ca="1">INDEX(Customers[Customer ID],RANDBETWEEN(1,200))</f>
        <v>C060</v>
      </c>
      <c r="D903" t="str" cm="1">
        <f t="array" aca="1" ref="D903" ca="1">INDEX(Products[Product ID],RANDBETWEEN(1,50))</f>
        <v>P016</v>
      </c>
      <c r="E903" t="str" cm="1">
        <f t="array" aca="1" ref="E903" ca="1">INDEX(Warehouses[Warehouse ID],RANDBETWEEN(1,8))</f>
        <v>W001</v>
      </c>
      <c r="F903">
        <f t="shared" ca="1" si="42"/>
        <v>10</v>
      </c>
      <c r="G903">
        <f ca="1">_xlfn.XLOOKUP(Orders[[#This Row],[Product ID]],Products[Product ID],Products[Selling Price])</f>
        <v>2500</v>
      </c>
      <c r="H903" s="6">
        <f t="shared" ca="1" si="43"/>
        <v>0.19</v>
      </c>
      <c r="I903">
        <f ca="1">Orders[[#This Row],[Quantity]]*Orders[[#This Row],[Unit Price]]*(1-Orders[[#This Row],[Discount%]])</f>
        <v>20250</v>
      </c>
      <c r="J903" t="str" cm="1">
        <f t="array" aca="1" ref="J903" ca="1">INDEX(PaymentMethods[Payment Method],RANDBETWEEN(1,5))</f>
        <v>Debit Card</v>
      </c>
    </row>
    <row r="904" spans="1:10" x14ac:dyDescent="0.3">
      <c r="A904" t="str">
        <f t="shared" si="44"/>
        <v>O0903</v>
      </c>
      <c r="B904" s="6">
        <f ca="1">Orders[[#This Row],[Discount%]]</f>
        <v>0.08</v>
      </c>
      <c r="C904" t="str" cm="1">
        <f t="array" aca="1" ref="C904" ca="1">INDEX(Customers[Customer ID],RANDBETWEEN(1,200))</f>
        <v>C060</v>
      </c>
      <c r="D904" t="str" cm="1">
        <f t="array" aca="1" ref="D904" ca="1">INDEX(Products[Product ID],RANDBETWEEN(1,50))</f>
        <v>P043</v>
      </c>
      <c r="E904" t="str" cm="1">
        <f t="array" aca="1" ref="E904" ca="1">INDEX(Warehouses[Warehouse ID],RANDBETWEEN(1,8))</f>
        <v>W004</v>
      </c>
      <c r="F904">
        <f t="shared" ca="1" si="42"/>
        <v>7</v>
      </c>
      <c r="G904">
        <f ca="1">_xlfn.XLOOKUP(Orders[[#This Row],[Product ID]],Products[Product ID],Products[Selling Price])</f>
        <v>24500</v>
      </c>
      <c r="H904" s="6">
        <f t="shared" ca="1" si="43"/>
        <v>0.08</v>
      </c>
      <c r="I904">
        <f ca="1">Orders[[#This Row],[Quantity]]*Orders[[#This Row],[Unit Price]]*(1-Orders[[#This Row],[Discount%]])</f>
        <v>157780</v>
      </c>
      <c r="J904" t="str" cm="1">
        <f t="array" aca="1" ref="J904" ca="1">INDEX(PaymentMethods[Payment Method],RANDBETWEEN(1,5))</f>
        <v>Debit Card</v>
      </c>
    </row>
    <row r="905" spans="1:10" x14ac:dyDescent="0.3">
      <c r="A905" t="str">
        <f t="shared" si="44"/>
        <v>O0904</v>
      </c>
      <c r="B905" s="6">
        <f ca="1">Orders[[#This Row],[Discount%]]</f>
        <v>0.1</v>
      </c>
      <c r="C905" t="str" cm="1">
        <f t="array" aca="1" ref="C905" ca="1">INDEX(Customers[Customer ID],RANDBETWEEN(1,200))</f>
        <v>C184</v>
      </c>
      <c r="D905" t="str" cm="1">
        <f t="array" aca="1" ref="D905" ca="1">INDEX(Products[Product ID],RANDBETWEEN(1,50))</f>
        <v>P040</v>
      </c>
      <c r="E905" t="str" cm="1">
        <f t="array" aca="1" ref="E905" ca="1">INDEX(Warehouses[Warehouse ID],RANDBETWEEN(1,8))</f>
        <v>W004</v>
      </c>
      <c r="F905">
        <f t="shared" ca="1" si="42"/>
        <v>6</v>
      </c>
      <c r="G905">
        <f ca="1">_xlfn.XLOOKUP(Orders[[#This Row],[Product ID]],Products[Product ID],Products[Selling Price])</f>
        <v>180</v>
      </c>
      <c r="H905" s="6">
        <f t="shared" ca="1" si="43"/>
        <v>0.1</v>
      </c>
      <c r="I905">
        <f ca="1">Orders[[#This Row],[Quantity]]*Orders[[#This Row],[Unit Price]]*(1-Orders[[#This Row],[Discount%]])</f>
        <v>972</v>
      </c>
      <c r="J905" t="str" cm="1">
        <f t="array" aca="1" ref="J905" ca="1">INDEX(PaymentMethods[Payment Method],RANDBETWEEN(1,5))</f>
        <v>Debit Card</v>
      </c>
    </row>
    <row r="906" spans="1:10" x14ac:dyDescent="0.3">
      <c r="A906" t="str">
        <f t="shared" si="44"/>
        <v>O0905</v>
      </c>
      <c r="B906" s="6">
        <f ca="1">Orders[[#This Row],[Discount%]]</f>
        <v>0.01</v>
      </c>
      <c r="C906" t="str" cm="1">
        <f t="array" aca="1" ref="C906" ca="1">INDEX(Customers[Customer ID],RANDBETWEEN(1,200))</f>
        <v>C182</v>
      </c>
      <c r="D906" t="str" cm="1">
        <f t="array" aca="1" ref="D906" ca="1">INDEX(Products[Product ID],RANDBETWEEN(1,50))</f>
        <v>P021</v>
      </c>
      <c r="E906" t="str" cm="1">
        <f t="array" aca="1" ref="E906" ca="1">INDEX(Warehouses[Warehouse ID],RANDBETWEEN(1,8))</f>
        <v>W006</v>
      </c>
      <c r="F906">
        <f t="shared" ca="1" si="42"/>
        <v>9</v>
      </c>
      <c r="G906">
        <f ca="1">_xlfn.XLOOKUP(Orders[[#This Row],[Product ID]],Products[Product ID],Products[Selling Price])</f>
        <v>22000</v>
      </c>
      <c r="H906" s="6">
        <f t="shared" ca="1" si="43"/>
        <v>0.01</v>
      </c>
      <c r="I906">
        <f ca="1">Orders[[#This Row],[Quantity]]*Orders[[#This Row],[Unit Price]]*(1-Orders[[#This Row],[Discount%]])</f>
        <v>196020</v>
      </c>
      <c r="J906" t="str" cm="1">
        <f t="array" aca="1" ref="J906" ca="1">INDEX(PaymentMethods[Payment Method],RANDBETWEEN(1,5))</f>
        <v>Debit Card</v>
      </c>
    </row>
    <row r="907" spans="1:10" x14ac:dyDescent="0.3">
      <c r="A907" t="str">
        <f t="shared" si="44"/>
        <v>O0906</v>
      </c>
      <c r="B907" s="6">
        <f ca="1">Orders[[#This Row],[Discount%]]</f>
        <v>0.06</v>
      </c>
      <c r="C907" t="str" cm="1">
        <f t="array" aca="1" ref="C907" ca="1">INDEX(Customers[Customer ID],RANDBETWEEN(1,200))</f>
        <v>C161</v>
      </c>
      <c r="D907" t="str" cm="1">
        <f t="array" aca="1" ref="D907" ca="1">INDEX(Products[Product ID],RANDBETWEEN(1,50))</f>
        <v>P006</v>
      </c>
      <c r="E907" t="str" cm="1">
        <f t="array" aca="1" ref="E907" ca="1">INDEX(Warehouses[Warehouse ID],RANDBETWEEN(1,8))</f>
        <v>W008</v>
      </c>
      <c r="F907">
        <f t="shared" ca="1" si="42"/>
        <v>8</v>
      </c>
      <c r="G907">
        <f ca="1">_xlfn.XLOOKUP(Orders[[#This Row],[Product ID]],Products[Product ID],Products[Selling Price])</f>
        <v>3500</v>
      </c>
      <c r="H907" s="6">
        <f t="shared" ca="1" si="43"/>
        <v>0.06</v>
      </c>
      <c r="I907">
        <f ca="1">Orders[[#This Row],[Quantity]]*Orders[[#This Row],[Unit Price]]*(1-Orders[[#This Row],[Discount%]])</f>
        <v>26320</v>
      </c>
      <c r="J907" t="str" cm="1">
        <f t="array" aca="1" ref="J907" ca="1">INDEX(PaymentMethods[Payment Method],RANDBETWEEN(1,5))</f>
        <v>Credit Card</v>
      </c>
    </row>
    <row r="908" spans="1:10" x14ac:dyDescent="0.3">
      <c r="A908" t="str">
        <f t="shared" si="44"/>
        <v>O0907</v>
      </c>
      <c r="B908" s="6">
        <f ca="1">Orders[[#This Row],[Discount%]]</f>
        <v>0.09</v>
      </c>
      <c r="C908" t="str" cm="1">
        <f t="array" aca="1" ref="C908" ca="1">INDEX(Customers[Customer ID],RANDBETWEEN(1,200))</f>
        <v>C147</v>
      </c>
      <c r="D908" t="str" cm="1">
        <f t="array" aca="1" ref="D908" ca="1">INDEX(Products[Product ID],RANDBETWEEN(1,50))</f>
        <v>P034</v>
      </c>
      <c r="E908" t="str" cm="1">
        <f t="array" aca="1" ref="E908" ca="1">INDEX(Warehouses[Warehouse ID],RANDBETWEEN(1,8))</f>
        <v>W008</v>
      </c>
      <c r="F908">
        <f t="shared" ca="1" si="42"/>
        <v>1</v>
      </c>
      <c r="G908">
        <f ca="1">_xlfn.XLOOKUP(Orders[[#This Row],[Product ID]],Products[Product ID],Products[Selling Price])</f>
        <v>120</v>
      </c>
      <c r="H908" s="6">
        <f t="shared" ca="1" si="43"/>
        <v>0.09</v>
      </c>
      <c r="I908">
        <f ca="1">Orders[[#This Row],[Quantity]]*Orders[[#This Row],[Unit Price]]*(1-Orders[[#This Row],[Discount%]])</f>
        <v>109.2</v>
      </c>
      <c r="J908" t="str" cm="1">
        <f t="array" aca="1" ref="J908" ca="1">INDEX(PaymentMethods[Payment Method],RANDBETWEEN(1,5))</f>
        <v>Cash</v>
      </c>
    </row>
    <row r="909" spans="1:10" x14ac:dyDescent="0.3">
      <c r="A909" t="str">
        <f t="shared" si="44"/>
        <v>O0908</v>
      </c>
      <c r="B909" s="6">
        <f ca="1">Orders[[#This Row],[Discount%]]</f>
        <v>0.04</v>
      </c>
      <c r="C909" t="str" cm="1">
        <f t="array" aca="1" ref="C909" ca="1">INDEX(Customers[Customer ID],RANDBETWEEN(1,200))</f>
        <v>C088</v>
      </c>
      <c r="D909" t="str" cm="1">
        <f t="array" aca="1" ref="D909" ca="1">INDEX(Products[Product ID],RANDBETWEEN(1,50))</f>
        <v>P031</v>
      </c>
      <c r="E909" t="str" cm="1">
        <f t="array" aca="1" ref="E909" ca="1">INDEX(Warehouses[Warehouse ID],RANDBETWEEN(1,8))</f>
        <v>W003</v>
      </c>
      <c r="F909">
        <f t="shared" ca="1" si="42"/>
        <v>5</v>
      </c>
      <c r="G909">
        <f ca="1">_xlfn.XLOOKUP(Orders[[#This Row],[Product ID]],Products[Product ID],Products[Selling Price])</f>
        <v>90</v>
      </c>
      <c r="H909" s="6">
        <f t="shared" ca="1" si="43"/>
        <v>0.04</v>
      </c>
      <c r="I909">
        <f ca="1">Orders[[#This Row],[Quantity]]*Orders[[#This Row],[Unit Price]]*(1-Orders[[#This Row],[Discount%]])</f>
        <v>432</v>
      </c>
      <c r="J909" t="str" cm="1">
        <f t="array" aca="1" ref="J909" ca="1">INDEX(PaymentMethods[Payment Method],RANDBETWEEN(1,5))</f>
        <v>UPI</v>
      </c>
    </row>
    <row r="910" spans="1:10" x14ac:dyDescent="0.3">
      <c r="A910" t="str">
        <f t="shared" si="44"/>
        <v>O0909</v>
      </c>
      <c r="B910" s="6">
        <f ca="1">Orders[[#This Row],[Discount%]]</f>
        <v>0.08</v>
      </c>
      <c r="C910" t="str" cm="1">
        <f t="array" aca="1" ref="C910" ca="1">INDEX(Customers[Customer ID],RANDBETWEEN(1,200))</f>
        <v>C166</v>
      </c>
      <c r="D910" t="str" cm="1">
        <f t="array" aca="1" ref="D910" ca="1">INDEX(Products[Product ID],RANDBETWEEN(1,50))</f>
        <v>P031</v>
      </c>
      <c r="E910" t="str" cm="1">
        <f t="array" aca="1" ref="E910" ca="1">INDEX(Warehouses[Warehouse ID],RANDBETWEEN(1,8))</f>
        <v>W001</v>
      </c>
      <c r="F910">
        <f t="shared" ca="1" si="42"/>
        <v>7</v>
      </c>
      <c r="G910">
        <f ca="1">_xlfn.XLOOKUP(Orders[[#This Row],[Product ID]],Products[Product ID],Products[Selling Price])</f>
        <v>90</v>
      </c>
      <c r="H910" s="6">
        <f t="shared" ca="1" si="43"/>
        <v>0.08</v>
      </c>
      <c r="I910">
        <f ca="1">Orders[[#This Row],[Quantity]]*Orders[[#This Row],[Unit Price]]*(1-Orders[[#This Row],[Discount%]])</f>
        <v>579.6</v>
      </c>
      <c r="J910" t="str" cm="1">
        <f t="array" aca="1" ref="J910" ca="1">INDEX(PaymentMethods[Payment Method],RANDBETWEEN(1,5))</f>
        <v>Cash</v>
      </c>
    </row>
    <row r="911" spans="1:10" x14ac:dyDescent="0.3">
      <c r="A911" t="str">
        <f t="shared" si="44"/>
        <v>O0910</v>
      </c>
      <c r="B911" s="6">
        <f ca="1">Orders[[#This Row],[Discount%]]</f>
        <v>0.2</v>
      </c>
      <c r="C911" t="str" cm="1">
        <f t="array" aca="1" ref="C911" ca="1">INDEX(Customers[Customer ID],RANDBETWEEN(1,200))</f>
        <v>C094</v>
      </c>
      <c r="D911" t="str" cm="1">
        <f t="array" aca="1" ref="D911" ca="1">INDEX(Products[Product ID],RANDBETWEEN(1,50))</f>
        <v>P042</v>
      </c>
      <c r="E911" t="str" cm="1">
        <f t="array" aca="1" ref="E911" ca="1">INDEX(Warehouses[Warehouse ID],RANDBETWEEN(1,8))</f>
        <v>W008</v>
      </c>
      <c r="F911">
        <f t="shared" ca="1" si="42"/>
        <v>9</v>
      </c>
      <c r="G911">
        <f ca="1">_xlfn.XLOOKUP(Orders[[#This Row],[Product ID]],Products[Product ID],Products[Selling Price])</f>
        <v>29000</v>
      </c>
      <c r="H911" s="6">
        <f t="shared" ca="1" si="43"/>
        <v>0.2</v>
      </c>
      <c r="I911">
        <f ca="1">Orders[[#This Row],[Quantity]]*Orders[[#This Row],[Unit Price]]*(1-Orders[[#This Row],[Discount%]])</f>
        <v>208800</v>
      </c>
      <c r="J911" t="str" cm="1">
        <f t="array" aca="1" ref="J911" ca="1">INDEX(PaymentMethods[Payment Method],RANDBETWEEN(1,5))</f>
        <v>Debit Card</v>
      </c>
    </row>
    <row r="912" spans="1:10" x14ac:dyDescent="0.3">
      <c r="A912" t="str">
        <f t="shared" si="44"/>
        <v>O0911</v>
      </c>
      <c r="B912" s="6">
        <f ca="1">Orders[[#This Row],[Discount%]]</f>
        <v>0.12</v>
      </c>
      <c r="C912" t="str" cm="1">
        <f t="array" aca="1" ref="C912" ca="1">INDEX(Customers[Customer ID],RANDBETWEEN(1,200))</f>
        <v>C133</v>
      </c>
      <c r="D912" t="str" cm="1">
        <f t="array" aca="1" ref="D912" ca="1">INDEX(Products[Product ID],RANDBETWEEN(1,50))</f>
        <v>P025</v>
      </c>
      <c r="E912" t="str" cm="1">
        <f t="array" aca="1" ref="E912" ca="1">INDEX(Warehouses[Warehouse ID],RANDBETWEEN(1,8))</f>
        <v>W004</v>
      </c>
      <c r="F912">
        <f t="shared" ca="1" si="42"/>
        <v>8</v>
      </c>
      <c r="G912">
        <f ca="1">_xlfn.XLOOKUP(Orders[[#This Row],[Product ID]],Products[Product ID],Products[Selling Price])</f>
        <v>1800</v>
      </c>
      <c r="H912" s="6">
        <f t="shared" ca="1" si="43"/>
        <v>0.12</v>
      </c>
      <c r="I912">
        <f ca="1">Orders[[#This Row],[Quantity]]*Orders[[#This Row],[Unit Price]]*(1-Orders[[#This Row],[Discount%]])</f>
        <v>12672</v>
      </c>
      <c r="J912" t="str" cm="1">
        <f t="array" aca="1" ref="J912" ca="1">INDEX(PaymentMethods[Payment Method],RANDBETWEEN(1,5))</f>
        <v>Debit Card</v>
      </c>
    </row>
    <row r="913" spans="1:10" x14ac:dyDescent="0.3">
      <c r="A913" t="str">
        <f t="shared" si="44"/>
        <v>O0912</v>
      </c>
      <c r="B913" s="6">
        <f ca="1">Orders[[#This Row],[Discount%]]</f>
        <v>0.06</v>
      </c>
      <c r="C913" t="str" cm="1">
        <f t="array" aca="1" ref="C913" ca="1">INDEX(Customers[Customer ID],RANDBETWEEN(1,200))</f>
        <v>C057</v>
      </c>
      <c r="D913" t="str" cm="1">
        <f t="array" aca="1" ref="D913" ca="1">INDEX(Products[Product ID],RANDBETWEEN(1,50))</f>
        <v>P043</v>
      </c>
      <c r="E913" t="str" cm="1">
        <f t="array" aca="1" ref="E913" ca="1">INDEX(Warehouses[Warehouse ID],RANDBETWEEN(1,8))</f>
        <v>W005</v>
      </c>
      <c r="F913">
        <f t="shared" ca="1" si="42"/>
        <v>3</v>
      </c>
      <c r="G913">
        <f ca="1">_xlfn.XLOOKUP(Orders[[#This Row],[Product ID]],Products[Product ID],Products[Selling Price])</f>
        <v>24500</v>
      </c>
      <c r="H913" s="6">
        <f t="shared" ca="1" si="43"/>
        <v>0.06</v>
      </c>
      <c r="I913">
        <f ca="1">Orders[[#This Row],[Quantity]]*Orders[[#This Row],[Unit Price]]*(1-Orders[[#This Row],[Discount%]])</f>
        <v>69090</v>
      </c>
      <c r="J913" t="str" cm="1">
        <f t="array" aca="1" ref="J913" ca="1">INDEX(PaymentMethods[Payment Method],RANDBETWEEN(1,5))</f>
        <v>UPI</v>
      </c>
    </row>
    <row r="914" spans="1:10" x14ac:dyDescent="0.3">
      <c r="A914" t="str">
        <f t="shared" si="44"/>
        <v>O0913</v>
      </c>
      <c r="B914" s="6">
        <f ca="1">Orders[[#This Row],[Discount%]]</f>
        <v>0.18</v>
      </c>
      <c r="C914" t="str" cm="1">
        <f t="array" aca="1" ref="C914" ca="1">INDEX(Customers[Customer ID],RANDBETWEEN(1,200))</f>
        <v>C106</v>
      </c>
      <c r="D914" t="str" cm="1">
        <f t="array" aca="1" ref="D914" ca="1">INDEX(Products[Product ID],RANDBETWEEN(1,50))</f>
        <v>P018</v>
      </c>
      <c r="E914" t="str" cm="1">
        <f t="array" aca="1" ref="E914" ca="1">INDEX(Warehouses[Warehouse ID],RANDBETWEEN(1,8))</f>
        <v>W008</v>
      </c>
      <c r="F914">
        <f t="shared" ca="1" si="42"/>
        <v>9</v>
      </c>
      <c r="G914">
        <f ca="1">_xlfn.XLOOKUP(Orders[[#This Row],[Product ID]],Products[Product ID],Products[Selling Price])</f>
        <v>1500</v>
      </c>
      <c r="H914" s="6">
        <f t="shared" ca="1" si="43"/>
        <v>0.18</v>
      </c>
      <c r="I914">
        <f ca="1">Orders[[#This Row],[Quantity]]*Orders[[#This Row],[Unit Price]]*(1-Orders[[#This Row],[Discount%]])</f>
        <v>11070</v>
      </c>
      <c r="J914" t="str" cm="1">
        <f t="array" aca="1" ref="J914" ca="1">INDEX(PaymentMethods[Payment Method],RANDBETWEEN(1,5))</f>
        <v>Cash</v>
      </c>
    </row>
    <row r="915" spans="1:10" x14ac:dyDescent="0.3">
      <c r="A915" t="str">
        <f t="shared" si="44"/>
        <v>O0914</v>
      </c>
      <c r="B915" s="6">
        <f ca="1">Orders[[#This Row],[Discount%]]</f>
        <v>0.18</v>
      </c>
      <c r="C915" t="str" cm="1">
        <f t="array" aca="1" ref="C915" ca="1">INDEX(Customers[Customer ID],RANDBETWEEN(1,200))</f>
        <v>C166</v>
      </c>
      <c r="D915" t="str" cm="1">
        <f t="array" aca="1" ref="D915" ca="1">INDEX(Products[Product ID],RANDBETWEEN(1,50))</f>
        <v>P036</v>
      </c>
      <c r="E915" t="str" cm="1">
        <f t="array" aca="1" ref="E915" ca="1">INDEX(Warehouses[Warehouse ID],RANDBETWEEN(1,8))</f>
        <v>W007</v>
      </c>
      <c r="F915">
        <f t="shared" ca="1" si="42"/>
        <v>3</v>
      </c>
      <c r="G915">
        <f ca="1">_xlfn.XLOOKUP(Orders[[#This Row],[Product ID]],Products[Product ID],Products[Selling Price])</f>
        <v>450</v>
      </c>
      <c r="H915" s="6">
        <f t="shared" ca="1" si="43"/>
        <v>0.18</v>
      </c>
      <c r="I915">
        <f ca="1">Orders[[#This Row],[Quantity]]*Orders[[#This Row],[Unit Price]]*(1-Orders[[#This Row],[Discount%]])</f>
        <v>1107</v>
      </c>
      <c r="J915" t="str" cm="1">
        <f t="array" aca="1" ref="J915" ca="1">INDEX(PaymentMethods[Payment Method],RANDBETWEEN(1,5))</f>
        <v>Debit Card</v>
      </c>
    </row>
    <row r="916" spans="1:10" x14ac:dyDescent="0.3">
      <c r="A916" t="str">
        <f t="shared" si="44"/>
        <v>O0915</v>
      </c>
      <c r="B916" s="6">
        <f ca="1">Orders[[#This Row],[Discount%]]</f>
        <v>0.06</v>
      </c>
      <c r="C916" t="str" cm="1">
        <f t="array" aca="1" ref="C916" ca="1">INDEX(Customers[Customer ID],RANDBETWEEN(1,200))</f>
        <v>C051</v>
      </c>
      <c r="D916" t="str" cm="1">
        <f t="array" aca="1" ref="D916" ca="1">INDEX(Products[Product ID],RANDBETWEEN(1,50))</f>
        <v>P029</v>
      </c>
      <c r="E916" t="str" cm="1">
        <f t="array" aca="1" ref="E916" ca="1">INDEX(Warehouses[Warehouse ID],RANDBETWEEN(1,8))</f>
        <v>W002</v>
      </c>
      <c r="F916">
        <f t="shared" ca="1" si="42"/>
        <v>3</v>
      </c>
      <c r="G916">
        <f ca="1">_xlfn.XLOOKUP(Orders[[#This Row],[Product ID]],Products[Product ID],Products[Selling Price])</f>
        <v>3200</v>
      </c>
      <c r="H916" s="6">
        <f t="shared" ca="1" si="43"/>
        <v>0.06</v>
      </c>
      <c r="I916">
        <f ca="1">Orders[[#This Row],[Quantity]]*Orders[[#This Row],[Unit Price]]*(1-Orders[[#This Row],[Discount%]])</f>
        <v>9024</v>
      </c>
      <c r="J916" t="str" cm="1">
        <f t="array" aca="1" ref="J916" ca="1">INDEX(PaymentMethods[Payment Method],RANDBETWEEN(1,5))</f>
        <v>Net Banking</v>
      </c>
    </row>
    <row r="917" spans="1:10" x14ac:dyDescent="0.3">
      <c r="A917" t="str">
        <f t="shared" si="44"/>
        <v>O0916</v>
      </c>
      <c r="B917" s="6">
        <f ca="1">Orders[[#This Row],[Discount%]]</f>
        <v>0.01</v>
      </c>
      <c r="C917" t="str" cm="1">
        <f t="array" aca="1" ref="C917" ca="1">INDEX(Customers[Customer ID],RANDBETWEEN(1,200))</f>
        <v>C169</v>
      </c>
      <c r="D917" t="str" cm="1">
        <f t="array" aca="1" ref="D917" ca="1">INDEX(Products[Product ID],RANDBETWEEN(1,50))</f>
        <v>P049</v>
      </c>
      <c r="E917" t="str" cm="1">
        <f t="array" aca="1" ref="E917" ca="1">INDEX(Warehouses[Warehouse ID],RANDBETWEEN(1,8))</f>
        <v>W007</v>
      </c>
      <c r="F917">
        <f t="shared" ca="1" si="42"/>
        <v>2</v>
      </c>
      <c r="G917">
        <f ca="1">_xlfn.XLOOKUP(Orders[[#This Row],[Product ID]],Products[Product ID],Products[Selling Price])</f>
        <v>3800</v>
      </c>
      <c r="H917" s="6">
        <f t="shared" ca="1" si="43"/>
        <v>0.01</v>
      </c>
      <c r="I917">
        <f ca="1">Orders[[#This Row],[Quantity]]*Orders[[#This Row],[Unit Price]]*(1-Orders[[#This Row],[Discount%]])</f>
        <v>7524</v>
      </c>
      <c r="J917" t="str" cm="1">
        <f t="array" aca="1" ref="J917" ca="1">INDEX(PaymentMethods[Payment Method],RANDBETWEEN(1,5))</f>
        <v>Cash</v>
      </c>
    </row>
    <row r="918" spans="1:10" x14ac:dyDescent="0.3">
      <c r="A918" t="str">
        <f t="shared" si="44"/>
        <v>O0917</v>
      </c>
      <c r="B918" s="6">
        <f ca="1">Orders[[#This Row],[Discount%]]</f>
        <v>0.2</v>
      </c>
      <c r="C918" t="str" cm="1">
        <f t="array" aca="1" ref="C918" ca="1">INDEX(Customers[Customer ID],RANDBETWEEN(1,200))</f>
        <v>C125</v>
      </c>
      <c r="D918" t="str" cm="1">
        <f t="array" aca="1" ref="D918" ca="1">INDEX(Products[Product ID],RANDBETWEEN(1,50))</f>
        <v>P042</v>
      </c>
      <c r="E918" t="str" cm="1">
        <f t="array" aca="1" ref="E918" ca="1">INDEX(Warehouses[Warehouse ID],RANDBETWEEN(1,8))</f>
        <v>W005</v>
      </c>
      <c r="F918">
        <f t="shared" ca="1" si="42"/>
        <v>3</v>
      </c>
      <c r="G918">
        <f ca="1">_xlfn.XLOOKUP(Orders[[#This Row],[Product ID]],Products[Product ID],Products[Selling Price])</f>
        <v>29000</v>
      </c>
      <c r="H918" s="6">
        <f t="shared" ca="1" si="43"/>
        <v>0.2</v>
      </c>
      <c r="I918">
        <f ca="1">Orders[[#This Row],[Quantity]]*Orders[[#This Row],[Unit Price]]*(1-Orders[[#This Row],[Discount%]])</f>
        <v>69600</v>
      </c>
      <c r="J918" t="str" cm="1">
        <f t="array" aca="1" ref="J918" ca="1">INDEX(PaymentMethods[Payment Method],RANDBETWEEN(1,5))</f>
        <v>Credit Card</v>
      </c>
    </row>
    <row r="919" spans="1:10" x14ac:dyDescent="0.3">
      <c r="A919" t="str">
        <f t="shared" si="44"/>
        <v>O0918</v>
      </c>
      <c r="B919" s="6">
        <f ca="1">Orders[[#This Row],[Discount%]]</f>
        <v>0.02</v>
      </c>
      <c r="C919" t="str" cm="1">
        <f t="array" aca="1" ref="C919" ca="1">INDEX(Customers[Customer ID],RANDBETWEEN(1,200))</f>
        <v>C062</v>
      </c>
      <c r="D919" t="str" cm="1">
        <f t="array" aca="1" ref="D919" ca="1">INDEX(Products[Product ID],RANDBETWEEN(1,50))</f>
        <v>P018</v>
      </c>
      <c r="E919" t="str" cm="1">
        <f t="array" aca="1" ref="E919" ca="1">INDEX(Warehouses[Warehouse ID],RANDBETWEEN(1,8))</f>
        <v>W002</v>
      </c>
      <c r="F919">
        <f t="shared" ca="1" si="42"/>
        <v>3</v>
      </c>
      <c r="G919">
        <f ca="1">_xlfn.XLOOKUP(Orders[[#This Row],[Product ID]],Products[Product ID],Products[Selling Price])</f>
        <v>1500</v>
      </c>
      <c r="H919" s="6">
        <f t="shared" ca="1" si="43"/>
        <v>0.02</v>
      </c>
      <c r="I919">
        <f ca="1">Orders[[#This Row],[Quantity]]*Orders[[#This Row],[Unit Price]]*(1-Orders[[#This Row],[Discount%]])</f>
        <v>4410</v>
      </c>
      <c r="J919" t="str" cm="1">
        <f t="array" aca="1" ref="J919" ca="1">INDEX(PaymentMethods[Payment Method],RANDBETWEEN(1,5))</f>
        <v>Credit Card</v>
      </c>
    </row>
    <row r="920" spans="1:10" x14ac:dyDescent="0.3">
      <c r="A920" t="str">
        <f t="shared" si="44"/>
        <v>O0919</v>
      </c>
      <c r="B920" s="6">
        <f ca="1">Orders[[#This Row],[Discount%]]</f>
        <v>0.06</v>
      </c>
      <c r="C920" t="str" cm="1">
        <f t="array" aca="1" ref="C920" ca="1">INDEX(Customers[Customer ID],RANDBETWEEN(1,200))</f>
        <v>C092</v>
      </c>
      <c r="D920" t="str" cm="1">
        <f t="array" aca="1" ref="D920" ca="1">INDEX(Products[Product ID],RANDBETWEEN(1,50))</f>
        <v>P018</v>
      </c>
      <c r="E920" t="str" cm="1">
        <f t="array" aca="1" ref="E920" ca="1">INDEX(Warehouses[Warehouse ID],RANDBETWEEN(1,8))</f>
        <v>W007</v>
      </c>
      <c r="F920">
        <f t="shared" ca="1" si="42"/>
        <v>4</v>
      </c>
      <c r="G920">
        <f ca="1">_xlfn.XLOOKUP(Orders[[#This Row],[Product ID]],Products[Product ID],Products[Selling Price])</f>
        <v>1500</v>
      </c>
      <c r="H920" s="6">
        <f t="shared" ca="1" si="43"/>
        <v>0.06</v>
      </c>
      <c r="I920">
        <f ca="1">Orders[[#This Row],[Quantity]]*Orders[[#This Row],[Unit Price]]*(1-Orders[[#This Row],[Discount%]])</f>
        <v>5640</v>
      </c>
      <c r="J920" t="str" cm="1">
        <f t="array" aca="1" ref="J920" ca="1">INDEX(PaymentMethods[Payment Method],RANDBETWEEN(1,5))</f>
        <v>Cash</v>
      </c>
    </row>
    <row r="921" spans="1:10" x14ac:dyDescent="0.3">
      <c r="A921" t="str">
        <f t="shared" si="44"/>
        <v>O0920</v>
      </c>
      <c r="B921" s="6">
        <f ca="1">Orders[[#This Row],[Discount%]]</f>
        <v>7.0000000000000007E-2</v>
      </c>
      <c r="C921" t="str" cm="1">
        <f t="array" aca="1" ref="C921" ca="1">INDEX(Customers[Customer ID],RANDBETWEEN(1,200))</f>
        <v>C008</v>
      </c>
      <c r="D921" t="str" cm="1">
        <f t="array" aca="1" ref="D921" ca="1">INDEX(Products[Product ID],RANDBETWEEN(1,50))</f>
        <v>P046</v>
      </c>
      <c r="E921" t="str" cm="1">
        <f t="array" aca="1" ref="E921" ca="1">INDEX(Warehouses[Warehouse ID],RANDBETWEEN(1,8))</f>
        <v>W004</v>
      </c>
      <c r="F921">
        <f t="shared" ca="1" si="42"/>
        <v>8</v>
      </c>
      <c r="G921">
        <f ca="1">_xlfn.XLOOKUP(Orders[[#This Row],[Product ID]],Products[Product ID],Products[Selling Price])</f>
        <v>2500</v>
      </c>
      <c r="H921" s="6">
        <f t="shared" ca="1" si="43"/>
        <v>7.0000000000000007E-2</v>
      </c>
      <c r="I921">
        <f ca="1">Orders[[#This Row],[Quantity]]*Orders[[#This Row],[Unit Price]]*(1-Orders[[#This Row],[Discount%]])</f>
        <v>18600</v>
      </c>
      <c r="J921" t="str" cm="1">
        <f t="array" aca="1" ref="J921" ca="1">INDEX(PaymentMethods[Payment Method],RANDBETWEEN(1,5))</f>
        <v>UPI</v>
      </c>
    </row>
    <row r="922" spans="1:10" x14ac:dyDescent="0.3">
      <c r="A922" t="str">
        <f t="shared" si="44"/>
        <v>O0921</v>
      </c>
      <c r="B922" s="6">
        <f ca="1">Orders[[#This Row],[Discount%]]</f>
        <v>7.0000000000000007E-2</v>
      </c>
      <c r="C922" t="str" cm="1">
        <f t="array" aca="1" ref="C922" ca="1">INDEX(Customers[Customer ID],RANDBETWEEN(1,200))</f>
        <v>C088</v>
      </c>
      <c r="D922" t="str" cm="1">
        <f t="array" aca="1" ref="D922" ca="1">INDEX(Products[Product ID],RANDBETWEEN(1,50))</f>
        <v>P011</v>
      </c>
      <c r="E922" t="str" cm="1">
        <f t="array" aca="1" ref="E922" ca="1">INDEX(Warehouses[Warehouse ID],RANDBETWEEN(1,8))</f>
        <v>W007</v>
      </c>
      <c r="F922">
        <f t="shared" ca="1" si="42"/>
        <v>6</v>
      </c>
      <c r="G922">
        <f ca="1">_xlfn.XLOOKUP(Orders[[#This Row],[Product ID]],Products[Product ID],Products[Selling Price])</f>
        <v>1200</v>
      </c>
      <c r="H922" s="6">
        <f t="shared" ca="1" si="43"/>
        <v>7.0000000000000007E-2</v>
      </c>
      <c r="I922">
        <f ca="1">Orders[[#This Row],[Quantity]]*Orders[[#This Row],[Unit Price]]*(1-Orders[[#This Row],[Discount%]])</f>
        <v>6696</v>
      </c>
      <c r="J922" t="str" cm="1">
        <f t="array" aca="1" ref="J922" ca="1">INDEX(PaymentMethods[Payment Method],RANDBETWEEN(1,5))</f>
        <v>UPI</v>
      </c>
    </row>
    <row r="923" spans="1:10" x14ac:dyDescent="0.3">
      <c r="A923" t="str">
        <f t="shared" si="44"/>
        <v>O0922</v>
      </c>
      <c r="B923" s="6">
        <f ca="1">Orders[[#This Row],[Discount%]]</f>
        <v>0.14000000000000001</v>
      </c>
      <c r="C923" t="str" cm="1">
        <f t="array" aca="1" ref="C923" ca="1">INDEX(Customers[Customer ID],RANDBETWEEN(1,200))</f>
        <v>C007</v>
      </c>
      <c r="D923" t="str" cm="1">
        <f t="array" aca="1" ref="D923" ca="1">INDEX(Products[Product ID],RANDBETWEEN(1,50))</f>
        <v>P041</v>
      </c>
      <c r="E923" t="str" cm="1">
        <f t="array" aca="1" ref="E923" ca="1">INDEX(Warehouses[Warehouse ID],RANDBETWEEN(1,8))</f>
        <v>W005</v>
      </c>
      <c r="F923">
        <f t="shared" ca="1" si="42"/>
        <v>1</v>
      </c>
      <c r="G923">
        <f ca="1">_xlfn.XLOOKUP(Orders[[#This Row],[Product ID]],Products[Product ID],Products[Selling Price])</f>
        <v>36000</v>
      </c>
      <c r="H923" s="6">
        <f t="shared" ca="1" si="43"/>
        <v>0.14000000000000001</v>
      </c>
      <c r="I923">
        <f ca="1">Orders[[#This Row],[Quantity]]*Orders[[#This Row],[Unit Price]]*(1-Orders[[#This Row],[Discount%]])</f>
        <v>30960</v>
      </c>
      <c r="J923" t="str" cm="1">
        <f t="array" aca="1" ref="J923" ca="1">INDEX(PaymentMethods[Payment Method],RANDBETWEEN(1,5))</f>
        <v>Cash</v>
      </c>
    </row>
    <row r="924" spans="1:10" x14ac:dyDescent="0.3">
      <c r="A924" t="str">
        <f t="shared" si="44"/>
        <v>O0923</v>
      </c>
      <c r="B924" s="6">
        <f ca="1">Orders[[#This Row],[Discount%]]</f>
        <v>0.2</v>
      </c>
      <c r="C924" t="str" cm="1">
        <f t="array" aca="1" ref="C924" ca="1">INDEX(Customers[Customer ID],RANDBETWEEN(1,200))</f>
        <v>C138</v>
      </c>
      <c r="D924" t="str" cm="1">
        <f t="array" aca="1" ref="D924" ca="1">INDEX(Products[Product ID],RANDBETWEEN(1,50))</f>
        <v>P005</v>
      </c>
      <c r="E924" t="str" cm="1">
        <f t="array" aca="1" ref="E924" ca="1">INDEX(Warehouses[Warehouse ID],RANDBETWEEN(1,8))</f>
        <v>W007</v>
      </c>
      <c r="F924">
        <f t="shared" ca="1" si="42"/>
        <v>7</v>
      </c>
      <c r="G924">
        <f ca="1">_xlfn.XLOOKUP(Orders[[#This Row],[Product ID]],Products[Product ID],Products[Selling Price])</f>
        <v>10500</v>
      </c>
      <c r="H924" s="6">
        <f t="shared" ca="1" si="43"/>
        <v>0.2</v>
      </c>
      <c r="I924">
        <f ca="1">Orders[[#This Row],[Quantity]]*Orders[[#This Row],[Unit Price]]*(1-Orders[[#This Row],[Discount%]])</f>
        <v>58800</v>
      </c>
      <c r="J924" t="str" cm="1">
        <f t="array" aca="1" ref="J924" ca="1">INDEX(PaymentMethods[Payment Method],RANDBETWEEN(1,5))</f>
        <v>Debit Card</v>
      </c>
    </row>
    <row r="925" spans="1:10" x14ac:dyDescent="0.3">
      <c r="A925" t="str">
        <f t="shared" si="44"/>
        <v>O0924</v>
      </c>
      <c r="B925" s="6">
        <f ca="1">Orders[[#This Row],[Discount%]]</f>
        <v>0</v>
      </c>
      <c r="C925" t="str" cm="1">
        <f t="array" aca="1" ref="C925" ca="1">INDEX(Customers[Customer ID],RANDBETWEEN(1,200))</f>
        <v>C025</v>
      </c>
      <c r="D925" t="str" cm="1">
        <f t="array" aca="1" ref="D925" ca="1">INDEX(Products[Product ID],RANDBETWEEN(1,50))</f>
        <v>P043</v>
      </c>
      <c r="E925" t="str" cm="1">
        <f t="array" aca="1" ref="E925" ca="1">INDEX(Warehouses[Warehouse ID],RANDBETWEEN(1,8))</f>
        <v>W001</v>
      </c>
      <c r="F925">
        <f t="shared" ca="1" si="42"/>
        <v>5</v>
      </c>
      <c r="G925">
        <f ca="1">_xlfn.XLOOKUP(Orders[[#This Row],[Product ID]],Products[Product ID],Products[Selling Price])</f>
        <v>24500</v>
      </c>
      <c r="H925" s="6">
        <f t="shared" ca="1" si="43"/>
        <v>0</v>
      </c>
      <c r="I925">
        <f ca="1">Orders[[#This Row],[Quantity]]*Orders[[#This Row],[Unit Price]]*(1-Orders[[#This Row],[Discount%]])</f>
        <v>122500</v>
      </c>
      <c r="J925" t="str" cm="1">
        <f t="array" aca="1" ref="J925" ca="1">INDEX(PaymentMethods[Payment Method],RANDBETWEEN(1,5))</f>
        <v>Cash</v>
      </c>
    </row>
    <row r="926" spans="1:10" x14ac:dyDescent="0.3">
      <c r="A926" t="str">
        <f t="shared" si="44"/>
        <v>O0925</v>
      </c>
      <c r="B926" s="6">
        <f ca="1">Orders[[#This Row],[Discount%]]</f>
        <v>0.09</v>
      </c>
      <c r="C926" t="str" cm="1">
        <f t="array" aca="1" ref="C926" ca="1">INDEX(Customers[Customer ID],RANDBETWEEN(1,200))</f>
        <v>C061</v>
      </c>
      <c r="D926" t="str" cm="1">
        <f t="array" aca="1" ref="D926" ca="1">INDEX(Products[Product ID],RANDBETWEEN(1,50))</f>
        <v>P023</v>
      </c>
      <c r="E926" t="str" cm="1">
        <f t="array" aca="1" ref="E926" ca="1">INDEX(Warehouses[Warehouse ID],RANDBETWEEN(1,8))</f>
        <v>W008</v>
      </c>
      <c r="F926">
        <f t="shared" ca="1" si="42"/>
        <v>3</v>
      </c>
      <c r="G926">
        <f ca="1">_xlfn.XLOOKUP(Orders[[#This Row],[Product ID]],Products[Product ID],Products[Selling Price])</f>
        <v>2300</v>
      </c>
      <c r="H926" s="6">
        <f t="shared" ca="1" si="43"/>
        <v>0.09</v>
      </c>
      <c r="I926">
        <f ca="1">Orders[[#This Row],[Quantity]]*Orders[[#This Row],[Unit Price]]*(1-Orders[[#This Row],[Discount%]])</f>
        <v>6279</v>
      </c>
      <c r="J926" t="str" cm="1">
        <f t="array" aca="1" ref="J926" ca="1">INDEX(PaymentMethods[Payment Method],RANDBETWEEN(1,5))</f>
        <v>Net Banking</v>
      </c>
    </row>
    <row r="927" spans="1:10" x14ac:dyDescent="0.3">
      <c r="A927" t="str">
        <f t="shared" si="44"/>
        <v>O0926</v>
      </c>
      <c r="B927" s="6">
        <f ca="1">Orders[[#This Row],[Discount%]]</f>
        <v>0.14000000000000001</v>
      </c>
      <c r="C927" t="str" cm="1">
        <f t="array" aca="1" ref="C927" ca="1">INDEX(Customers[Customer ID],RANDBETWEEN(1,200))</f>
        <v>C008</v>
      </c>
      <c r="D927" t="str" cm="1">
        <f t="array" aca="1" ref="D927" ca="1">INDEX(Products[Product ID],RANDBETWEEN(1,50))</f>
        <v>P027</v>
      </c>
      <c r="E927" t="str" cm="1">
        <f t="array" aca="1" ref="E927" ca="1">INDEX(Warehouses[Warehouse ID],RANDBETWEEN(1,8))</f>
        <v>W008</v>
      </c>
      <c r="F927">
        <f t="shared" ca="1" si="42"/>
        <v>3</v>
      </c>
      <c r="G927">
        <f ca="1">_xlfn.XLOOKUP(Orders[[#This Row],[Product ID]],Products[Product ID],Products[Selling Price])</f>
        <v>4000</v>
      </c>
      <c r="H927" s="6">
        <f t="shared" ca="1" si="43"/>
        <v>0.14000000000000001</v>
      </c>
      <c r="I927">
        <f ca="1">Orders[[#This Row],[Quantity]]*Orders[[#This Row],[Unit Price]]*(1-Orders[[#This Row],[Discount%]])</f>
        <v>10320</v>
      </c>
      <c r="J927" t="str" cm="1">
        <f t="array" aca="1" ref="J927" ca="1">INDEX(PaymentMethods[Payment Method],RANDBETWEEN(1,5))</f>
        <v>Cash</v>
      </c>
    </row>
    <row r="928" spans="1:10" x14ac:dyDescent="0.3">
      <c r="A928" t="str">
        <f t="shared" si="44"/>
        <v>O0927</v>
      </c>
      <c r="B928" s="6">
        <f ca="1">Orders[[#This Row],[Discount%]]</f>
        <v>0.17</v>
      </c>
      <c r="C928" t="str" cm="1">
        <f t="array" aca="1" ref="C928" ca="1">INDEX(Customers[Customer ID],RANDBETWEEN(1,200))</f>
        <v>C107</v>
      </c>
      <c r="D928" t="str" cm="1">
        <f t="array" aca="1" ref="D928" ca="1">INDEX(Products[Product ID],RANDBETWEEN(1,50))</f>
        <v>P043</v>
      </c>
      <c r="E928" t="str" cm="1">
        <f t="array" aca="1" ref="E928" ca="1">INDEX(Warehouses[Warehouse ID],RANDBETWEEN(1,8))</f>
        <v>W007</v>
      </c>
      <c r="F928">
        <f t="shared" ca="1" si="42"/>
        <v>6</v>
      </c>
      <c r="G928">
        <f ca="1">_xlfn.XLOOKUP(Orders[[#This Row],[Product ID]],Products[Product ID],Products[Selling Price])</f>
        <v>24500</v>
      </c>
      <c r="H928" s="6">
        <f t="shared" ca="1" si="43"/>
        <v>0.17</v>
      </c>
      <c r="I928">
        <f ca="1">Orders[[#This Row],[Quantity]]*Orders[[#This Row],[Unit Price]]*(1-Orders[[#This Row],[Discount%]])</f>
        <v>122010</v>
      </c>
      <c r="J928" t="str" cm="1">
        <f t="array" aca="1" ref="J928" ca="1">INDEX(PaymentMethods[Payment Method],RANDBETWEEN(1,5))</f>
        <v>Cash</v>
      </c>
    </row>
    <row r="929" spans="1:10" x14ac:dyDescent="0.3">
      <c r="A929" t="str">
        <f t="shared" si="44"/>
        <v>O0928</v>
      </c>
      <c r="B929" s="6">
        <f ca="1">Orders[[#This Row],[Discount%]]</f>
        <v>0.02</v>
      </c>
      <c r="C929" t="str" cm="1">
        <f t="array" aca="1" ref="C929" ca="1">INDEX(Customers[Customer ID],RANDBETWEEN(1,200))</f>
        <v>C020</v>
      </c>
      <c r="D929" t="str" cm="1">
        <f t="array" aca="1" ref="D929" ca="1">INDEX(Products[Product ID],RANDBETWEEN(1,50))</f>
        <v>P034</v>
      </c>
      <c r="E929" t="str" cm="1">
        <f t="array" aca="1" ref="E929" ca="1">INDEX(Warehouses[Warehouse ID],RANDBETWEEN(1,8))</f>
        <v>W001</v>
      </c>
      <c r="F929">
        <f t="shared" ca="1" si="42"/>
        <v>10</v>
      </c>
      <c r="G929">
        <f ca="1">_xlfn.XLOOKUP(Orders[[#This Row],[Product ID]],Products[Product ID],Products[Selling Price])</f>
        <v>120</v>
      </c>
      <c r="H929" s="6">
        <f t="shared" ca="1" si="43"/>
        <v>0.02</v>
      </c>
      <c r="I929">
        <f ca="1">Orders[[#This Row],[Quantity]]*Orders[[#This Row],[Unit Price]]*(1-Orders[[#This Row],[Discount%]])</f>
        <v>1176</v>
      </c>
      <c r="J929" t="str" cm="1">
        <f t="array" aca="1" ref="J929" ca="1">INDEX(PaymentMethods[Payment Method],RANDBETWEEN(1,5))</f>
        <v>Credit Card</v>
      </c>
    </row>
    <row r="930" spans="1:10" x14ac:dyDescent="0.3">
      <c r="A930" t="str">
        <f t="shared" si="44"/>
        <v>O0929</v>
      </c>
      <c r="B930" s="6">
        <f ca="1">Orders[[#This Row],[Discount%]]</f>
        <v>0.2</v>
      </c>
      <c r="C930" t="str" cm="1">
        <f t="array" aca="1" ref="C930" ca="1">INDEX(Customers[Customer ID],RANDBETWEEN(1,200))</f>
        <v>C108</v>
      </c>
      <c r="D930" t="str" cm="1">
        <f t="array" aca="1" ref="D930" ca="1">INDEX(Products[Product ID],RANDBETWEEN(1,50))</f>
        <v>P003</v>
      </c>
      <c r="E930" t="str" cm="1">
        <f t="array" aca="1" ref="E930" ca="1">INDEX(Warehouses[Warehouse ID],RANDBETWEEN(1,8))</f>
        <v>W008</v>
      </c>
      <c r="F930">
        <f t="shared" ca="1" si="42"/>
        <v>6</v>
      </c>
      <c r="G930">
        <f ca="1">_xlfn.XLOOKUP(Orders[[#This Row],[Product ID]],Products[Product ID],Products[Selling Price])</f>
        <v>900</v>
      </c>
      <c r="H930" s="6">
        <f t="shared" ca="1" si="43"/>
        <v>0.2</v>
      </c>
      <c r="I930">
        <f ca="1">Orders[[#This Row],[Quantity]]*Orders[[#This Row],[Unit Price]]*(1-Orders[[#This Row],[Discount%]])</f>
        <v>4320</v>
      </c>
      <c r="J930" t="str" cm="1">
        <f t="array" aca="1" ref="J930" ca="1">INDEX(PaymentMethods[Payment Method],RANDBETWEEN(1,5))</f>
        <v>Net Banking</v>
      </c>
    </row>
    <row r="931" spans="1:10" x14ac:dyDescent="0.3">
      <c r="A931" t="str">
        <f t="shared" si="44"/>
        <v>O0930</v>
      </c>
      <c r="B931" s="6">
        <f ca="1">Orders[[#This Row],[Discount%]]</f>
        <v>0.06</v>
      </c>
      <c r="C931" t="str" cm="1">
        <f t="array" aca="1" ref="C931" ca="1">INDEX(Customers[Customer ID],RANDBETWEEN(1,200))</f>
        <v>C045</v>
      </c>
      <c r="D931" t="str" cm="1">
        <f t="array" aca="1" ref="D931" ca="1">INDEX(Products[Product ID],RANDBETWEEN(1,50))</f>
        <v>P026</v>
      </c>
      <c r="E931" t="str" cm="1">
        <f t="array" aca="1" ref="E931" ca="1">INDEX(Warehouses[Warehouse ID],RANDBETWEEN(1,8))</f>
        <v>W002</v>
      </c>
      <c r="F931">
        <f t="shared" ca="1" si="42"/>
        <v>4</v>
      </c>
      <c r="G931">
        <f ca="1">_xlfn.XLOOKUP(Orders[[#This Row],[Product ID]],Products[Product ID],Products[Selling Price])</f>
        <v>650</v>
      </c>
      <c r="H931" s="6">
        <f t="shared" ca="1" si="43"/>
        <v>0.06</v>
      </c>
      <c r="I931">
        <f ca="1">Orders[[#This Row],[Quantity]]*Orders[[#This Row],[Unit Price]]*(1-Orders[[#This Row],[Discount%]])</f>
        <v>2444</v>
      </c>
      <c r="J931" t="str" cm="1">
        <f t="array" aca="1" ref="J931" ca="1">INDEX(PaymentMethods[Payment Method],RANDBETWEEN(1,5))</f>
        <v>Net Banking</v>
      </c>
    </row>
    <row r="932" spans="1:10" x14ac:dyDescent="0.3">
      <c r="A932" t="str">
        <f t="shared" si="44"/>
        <v>O0931</v>
      </c>
      <c r="B932" s="6">
        <f ca="1">Orders[[#This Row],[Discount%]]</f>
        <v>0.03</v>
      </c>
      <c r="C932" t="str" cm="1">
        <f t="array" aca="1" ref="C932" ca="1">INDEX(Customers[Customer ID],RANDBETWEEN(1,200))</f>
        <v>C035</v>
      </c>
      <c r="D932" t="str" cm="1">
        <f t="array" aca="1" ref="D932" ca="1">INDEX(Products[Product ID],RANDBETWEEN(1,50))</f>
        <v>P035</v>
      </c>
      <c r="E932" t="str" cm="1">
        <f t="array" aca="1" ref="E932" ca="1">INDEX(Warehouses[Warehouse ID],RANDBETWEEN(1,8))</f>
        <v>W005</v>
      </c>
      <c r="F932">
        <f t="shared" ca="1" si="42"/>
        <v>5</v>
      </c>
      <c r="G932">
        <f ca="1">_xlfn.XLOOKUP(Orders[[#This Row],[Product ID]],Products[Product ID],Products[Selling Price])</f>
        <v>300</v>
      </c>
      <c r="H932" s="6">
        <f t="shared" ca="1" si="43"/>
        <v>0.03</v>
      </c>
      <c r="I932">
        <f ca="1">Orders[[#This Row],[Quantity]]*Orders[[#This Row],[Unit Price]]*(1-Orders[[#This Row],[Discount%]])</f>
        <v>1455</v>
      </c>
      <c r="J932" t="str" cm="1">
        <f t="array" aca="1" ref="J932" ca="1">INDEX(PaymentMethods[Payment Method],RANDBETWEEN(1,5))</f>
        <v>Cash</v>
      </c>
    </row>
    <row r="933" spans="1:10" x14ac:dyDescent="0.3">
      <c r="A933" t="str">
        <f t="shared" si="44"/>
        <v>O0932</v>
      </c>
      <c r="B933" s="6">
        <f ca="1">Orders[[#This Row],[Discount%]]</f>
        <v>0.05</v>
      </c>
      <c r="C933" t="str" cm="1">
        <f t="array" aca="1" ref="C933" ca="1">INDEX(Customers[Customer ID],RANDBETWEEN(1,200))</f>
        <v>C114</v>
      </c>
      <c r="D933" t="str" cm="1">
        <f t="array" aca="1" ref="D933" ca="1">INDEX(Products[Product ID],RANDBETWEEN(1,50))</f>
        <v>P036</v>
      </c>
      <c r="E933" t="str" cm="1">
        <f t="array" aca="1" ref="E933" ca="1">INDEX(Warehouses[Warehouse ID],RANDBETWEEN(1,8))</f>
        <v>W007</v>
      </c>
      <c r="F933">
        <f t="shared" ca="1" si="42"/>
        <v>8</v>
      </c>
      <c r="G933">
        <f ca="1">_xlfn.XLOOKUP(Orders[[#This Row],[Product ID]],Products[Product ID],Products[Selling Price])</f>
        <v>450</v>
      </c>
      <c r="H933" s="6">
        <f t="shared" ca="1" si="43"/>
        <v>0.05</v>
      </c>
      <c r="I933">
        <f ca="1">Orders[[#This Row],[Quantity]]*Orders[[#This Row],[Unit Price]]*(1-Orders[[#This Row],[Discount%]])</f>
        <v>3420</v>
      </c>
      <c r="J933" t="str" cm="1">
        <f t="array" aca="1" ref="J933" ca="1">INDEX(PaymentMethods[Payment Method],RANDBETWEEN(1,5))</f>
        <v>Debit Card</v>
      </c>
    </row>
    <row r="934" spans="1:10" x14ac:dyDescent="0.3">
      <c r="A934" t="str">
        <f t="shared" si="44"/>
        <v>O0933</v>
      </c>
      <c r="B934" s="6">
        <f ca="1">Orders[[#This Row],[Discount%]]</f>
        <v>0</v>
      </c>
      <c r="C934" t="str" cm="1">
        <f t="array" aca="1" ref="C934" ca="1">INDEX(Customers[Customer ID],RANDBETWEEN(1,200))</f>
        <v>C115</v>
      </c>
      <c r="D934" t="str" cm="1">
        <f t="array" aca="1" ref="D934" ca="1">INDEX(Products[Product ID],RANDBETWEEN(1,50))</f>
        <v>P039</v>
      </c>
      <c r="E934" t="str" cm="1">
        <f t="array" aca="1" ref="E934" ca="1">INDEX(Warehouses[Warehouse ID],RANDBETWEEN(1,8))</f>
        <v>W007</v>
      </c>
      <c r="F934">
        <f t="shared" ca="1" si="42"/>
        <v>4</v>
      </c>
      <c r="G934">
        <f ca="1">_xlfn.XLOOKUP(Orders[[#This Row],[Product ID]],Products[Product ID],Products[Selling Price])</f>
        <v>250</v>
      </c>
      <c r="H934" s="6">
        <f t="shared" ca="1" si="43"/>
        <v>0</v>
      </c>
      <c r="I934">
        <f ca="1">Orders[[#This Row],[Quantity]]*Orders[[#This Row],[Unit Price]]*(1-Orders[[#This Row],[Discount%]])</f>
        <v>1000</v>
      </c>
      <c r="J934" t="str" cm="1">
        <f t="array" aca="1" ref="J934" ca="1">INDEX(PaymentMethods[Payment Method],RANDBETWEEN(1,5))</f>
        <v>Credit Card</v>
      </c>
    </row>
    <row r="935" spans="1:10" x14ac:dyDescent="0.3">
      <c r="A935" t="str">
        <f t="shared" si="44"/>
        <v>O0934</v>
      </c>
      <c r="B935" s="6">
        <f ca="1">Orders[[#This Row],[Discount%]]</f>
        <v>0.05</v>
      </c>
      <c r="C935" t="str" cm="1">
        <f t="array" aca="1" ref="C935" ca="1">INDEX(Customers[Customer ID],RANDBETWEEN(1,200))</f>
        <v>C179</v>
      </c>
      <c r="D935" t="str" cm="1">
        <f t="array" aca="1" ref="D935" ca="1">INDEX(Products[Product ID],RANDBETWEEN(1,50))</f>
        <v>P031</v>
      </c>
      <c r="E935" t="str" cm="1">
        <f t="array" aca="1" ref="E935" ca="1">INDEX(Warehouses[Warehouse ID],RANDBETWEEN(1,8))</f>
        <v>W003</v>
      </c>
      <c r="F935">
        <f t="shared" ca="1" si="42"/>
        <v>3</v>
      </c>
      <c r="G935">
        <f ca="1">_xlfn.XLOOKUP(Orders[[#This Row],[Product ID]],Products[Product ID],Products[Selling Price])</f>
        <v>90</v>
      </c>
      <c r="H935" s="6">
        <f t="shared" ca="1" si="43"/>
        <v>0.05</v>
      </c>
      <c r="I935">
        <f ca="1">Orders[[#This Row],[Quantity]]*Orders[[#This Row],[Unit Price]]*(1-Orders[[#This Row],[Discount%]])</f>
        <v>256.5</v>
      </c>
      <c r="J935" t="str" cm="1">
        <f t="array" aca="1" ref="J935" ca="1">INDEX(PaymentMethods[Payment Method],RANDBETWEEN(1,5))</f>
        <v>Cash</v>
      </c>
    </row>
    <row r="936" spans="1:10" x14ac:dyDescent="0.3">
      <c r="A936" t="str">
        <f t="shared" si="44"/>
        <v>O0935</v>
      </c>
      <c r="B936" s="6">
        <f ca="1">Orders[[#This Row],[Discount%]]</f>
        <v>0.04</v>
      </c>
      <c r="C936" t="str" cm="1">
        <f t="array" aca="1" ref="C936" ca="1">INDEX(Customers[Customer ID],RANDBETWEEN(1,200))</f>
        <v>C103</v>
      </c>
      <c r="D936" t="str" cm="1">
        <f t="array" aca="1" ref="D936" ca="1">INDEX(Products[Product ID],RANDBETWEEN(1,50))</f>
        <v>P033</v>
      </c>
      <c r="E936" t="str" cm="1">
        <f t="array" aca="1" ref="E936" ca="1">INDEX(Warehouses[Warehouse ID],RANDBETWEEN(1,8))</f>
        <v>W005</v>
      </c>
      <c r="F936">
        <f t="shared" ca="1" si="42"/>
        <v>5</v>
      </c>
      <c r="G936">
        <f ca="1">_xlfn.XLOOKUP(Orders[[#This Row],[Product ID]],Products[Product ID],Products[Selling Price])</f>
        <v>180</v>
      </c>
      <c r="H936" s="6">
        <f t="shared" ca="1" si="43"/>
        <v>0.04</v>
      </c>
      <c r="I936">
        <f ca="1">Orders[[#This Row],[Quantity]]*Orders[[#This Row],[Unit Price]]*(1-Orders[[#This Row],[Discount%]])</f>
        <v>864</v>
      </c>
      <c r="J936" t="str" cm="1">
        <f t="array" aca="1" ref="J936" ca="1">INDEX(PaymentMethods[Payment Method],RANDBETWEEN(1,5))</f>
        <v>Net Banking</v>
      </c>
    </row>
    <row r="937" spans="1:10" x14ac:dyDescent="0.3">
      <c r="A937" t="str">
        <f t="shared" si="44"/>
        <v>O0936</v>
      </c>
      <c r="B937" s="6">
        <f ca="1">Orders[[#This Row],[Discount%]]</f>
        <v>0.2</v>
      </c>
      <c r="C937" t="str" cm="1">
        <f t="array" aca="1" ref="C937" ca="1">INDEX(Customers[Customer ID],RANDBETWEEN(1,200))</f>
        <v>C157</v>
      </c>
      <c r="D937" t="str" cm="1">
        <f t="array" aca="1" ref="D937" ca="1">INDEX(Products[Product ID],RANDBETWEEN(1,50))</f>
        <v>P001</v>
      </c>
      <c r="E937" t="str" cm="1">
        <f t="array" aca="1" ref="E937" ca="1">INDEX(Warehouses[Warehouse ID],RANDBETWEEN(1,8))</f>
        <v>W003</v>
      </c>
      <c r="F937">
        <f t="shared" ca="1" si="42"/>
        <v>6</v>
      </c>
      <c r="G937">
        <f ca="1">_xlfn.XLOOKUP(Orders[[#This Row],[Product ID]],Products[Product ID],Products[Selling Price])</f>
        <v>42000</v>
      </c>
      <c r="H937" s="6">
        <f t="shared" ca="1" si="43"/>
        <v>0.2</v>
      </c>
      <c r="I937">
        <f ca="1">Orders[[#This Row],[Quantity]]*Orders[[#This Row],[Unit Price]]*(1-Orders[[#This Row],[Discount%]])</f>
        <v>201600</v>
      </c>
      <c r="J937" t="str" cm="1">
        <f t="array" aca="1" ref="J937" ca="1">INDEX(PaymentMethods[Payment Method],RANDBETWEEN(1,5))</f>
        <v>Debit Card</v>
      </c>
    </row>
    <row r="938" spans="1:10" x14ac:dyDescent="0.3">
      <c r="A938" t="str">
        <f t="shared" si="44"/>
        <v>O0937</v>
      </c>
      <c r="B938" s="6">
        <f ca="1">Orders[[#This Row],[Discount%]]</f>
        <v>0.16</v>
      </c>
      <c r="C938" t="str" cm="1">
        <f t="array" aca="1" ref="C938" ca="1">INDEX(Customers[Customer ID],RANDBETWEEN(1,200))</f>
        <v>C185</v>
      </c>
      <c r="D938" t="str" cm="1">
        <f t="array" aca="1" ref="D938" ca="1">INDEX(Products[Product ID],RANDBETWEEN(1,50))</f>
        <v>P017</v>
      </c>
      <c r="E938" t="str" cm="1">
        <f t="array" aca="1" ref="E938" ca="1">INDEX(Warehouses[Warehouse ID],RANDBETWEEN(1,8))</f>
        <v>W005</v>
      </c>
      <c r="F938">
        <f t="shared" ca="1" si="42"/>
        <v>2</v>
      </c>
      <c r="G938">
        <f ca="1">_xlfn.XLOOKUP(Orders[[#This Row],[Product ID]],Products[Product ID],Products[Selling Price])</f>
        <v>650</v>
      </c>
      <c r="H938" s="6">
        <f t="shared" ca="1" si="43"/>
        <v>0.16</v>
      </c>
      <c r="I938">
        <f ca="1">Orders[[#This Row],[Quantity]]*Orders[[#This Row],[Unit Price]]*(1-Orders[[#This Row],[Discount%]])</f>
        <v>1092</v>
      </c>
      <c r="J938" t="str" cm="1">
        <f t="array" aca="1" ref="J938" ca="1">INDEX(PaymentMethods[Payment Method],RANDBETWEEN(1,5))</f>
        <v>Debit Card</v>
      </c>
    </row>
    <row r="939" spans="1:10" x14ac:dyDescent="0.3">
      <c r="A939" t="str">
        <f t="shared" si="44"/>
        <v>O0938</v>
      </c>
      <c r="B939" s="6">
        <f ca="1">Orders[[#This Row],[Discount%]]</f>
        <v>0.13</v>
      </c>
      <c r="C939" t="str" cm="1">
        <f t="array" aca="1" ref="C939" ca="1">INDEX(Customers[Customer ID],RANDBETWEEN(1,200))</f>
        <v>C174</v>
      </c>
      <c r="D939" t="str" cm="1">
        <f t="array" aca="1" ref="D939" ca="1">INDEX(Products[Product ID],RANDBETWEEN(1,50))</f>
        <v>P038</v>
      </c>
      <c r="E939" t="str" cm="1">
        <f t="array" aca="1" ref="E939" ca="1">INDEX(Warehouses[Warehouse ID],RANDBETWEEN(1,8))</f>
        <v>W005</v>
      </c>
      <c r="F939">
        <f t="shared" ca="1" si="42"/>
        <v>5</v>
      </c>
      <c r="G939">
        <f ca="1">_xlfn.XLOOKUP(Orders[[#This Row],[Product ID]],Products[Product ID],Products[Selling Price])</f>
        <v>1500</v>
      </c>
      <c r="H939" s="6">
        <f t="shared" ca="1" si="43"/>
        <v>0.13</v>
      </c>
      <c r="I939">
        <f ca="1">Orders[[#This Row],[Quantity]]*Orders[[#This Row],[Unit Price]]*(1-Orders[[#This Row],[Discount%]])</f>
        <v>6525</v>
      </c>
      <c r="J939" t="str" cm="1">
        <f t="array" aca="1" ref="J939" ca="1">INDEX(PaymentMethods[Payment Method],RANDBETWEEN(1,5))</f>
        <v>Net Banking</v>
      </c>
    </row>
    <row r="940" spans="1:10" x14ac:dyDescent="0.3">
      <c r="A940" t="str">
        <f t="shared" si="44"/>
        <v>O0939</v>
      </c>
      <c r="B940" s="6">
        <f ca="1">Orders[[#This Row],[Discount%]]</f>
        <v>0</v>
      </c>
      <c r="C940" t="str" cm="1">
        <f t="array" aca="1" ref="C940" ca="1">INDEX(Customers[Customer ID],RANDBETWEEN(1,200))</f>
        <v>C158</v>
      </c>
      <c r="D940" t="str" cm="1">
        <f t="array" aca="1" ref="D940" ca="1">INDEX(Products[Product ID],RANDBETWEEN(1,50))</f>
        <v>P021</v>
      </c>
      <c r="E940" t="str" cm="1">
        <f t="array" aca="1" ref="E940" ca="1">INDEX(Warehouses[Warehouse ID],RANDBETWEEN(1,8))</f>
        <v>W006</v>
      </c>
      <c r="F940">
        <f t="shared" ca="1" si="42"/>
        <v>7</v>
      </c>
      <c r="G940">
        <f ca="1">_xlfn.XLOOKUP(Orders[[#This Row],[Product ID]],Products[Product ID],Products[Selling Price])</f>
        <v>22000</v>
      </c>
      <c r="H940" s="6">
        <f t="shared" ca="1" si="43"/>
        <v>0</v>
      </c>
      <c r="I940">
        <f ca="1">Orders[[#This Row],[Quantity]]*Orders[[#This Row],[Unit Price]]*(1-Orders[[#This Row],[Discount%]])</f>
        <v>154000</v>
      </c>
      <c r="J940" t="str" cm="1">
        <f t="array" aca="1" ref="J940" ca="1">INDEX(PaymentMethods[Payment Method],RANDBETWEEN(1,5))</f>
        <v>Credit Card</v>
      </c>
    </row>
    <row r="941" spans="1:10" x14ac:dyDescent="0.3">
      <c r="A941" t="str">
        <f t="shared" si="44"/>
        <v>O0940</v>
      </c>
      <c r="B941" s="6">
        <f ca="1">Orders[[#This Row],[Discount%]]</f>
        <v>0.14000000000000001</v>
      </c>
      <c r="C941" t="str" cm="1">
        <f t="array" aca="1" ref="C941" ca="1">INDEX(Customers[Customer ID],RANDBETWEEN(1,200))</f>
        <v>C042</v>
      </c>
      <c r="D941" t="str" cm="1">
        <f t="array" aca="1" ref="D941" ca="1">INDEX(Products[Product ID],RANDBETWEEN(1,50))</f>
        <v>P028</v>
      </c>
      <c r="E941" t="str" cm="1">
        <f t="array" aca="1" ref="E941" ca="1">INDEX(Warehouses[Warehouse ID],RANDBETWEEN(1,8))</f>
        <v>W008</v>
      </c>
      <c r="F941">
        <f t="shared" ca="1" si="42"/>
        <v>7</v>
      </c>
      <c r="G941">
        <f ca="1">_xlfn.XLOOKUP(Orders[[#This Row],[Product ID]],Products[Product ID],Products[Selling Price])</f>
        <v>16500</v>
      </c>
      <c r="H941" s="6">
        <f t="shared" ca="1" si="43"/>
        <v>0.14000000000000001</v>
      </c>
      <c r="I941">
        <f ca="1">Orders[[#This Row],[Quantity]]*Orders[[#This Row],[Unit Price]]*(1-Orders[[#This Row],[Discount%]])</f>
        <v>99330</v>
      </c>
      <c r="J941" t="str" cm="1">
        <f t="array" aca="1" ref="J941" ca="1">INDEX(PaymentMethods[Payment Method],RANDBETWEEN(1,5))</f>
        <v>Credit Card</v>
      </c>
    </row>
    <row r="942" spans="1:10" x14ac:dyDescent="0.3">
      <c r="A942" t="str">
        <f t="shared" si="44"/>
        <v>O0941</v>
      </c>
      <c r="B942" s="6">
        <f ca="1">Orders[[#This Row],[Discount%]]</f>
        <v>0.2</v>
      </c>
      <c r="C942" t="str" cm="1">
        <f t="array" aca="1" ref="C942" ca="1">INDEX(Customers[Customer ID],RANDBETWEEN(1,200))</f>
        <v>C047</v>
      </c>
      <c r="D942" t="str" cm="1">
        <f t="array" aca="1" ref="D942" ca="1">INDEX(Products[Product ID],RANDBETWEEN(1,50))</f>
        <v>P026</v>
      </c>
      <c r="E942" t="str" cm="1">
        <f t="array" aca="1" ref="E942" ca="1">INDEX(Warehouses[Warehouse ID],RANDBETWEEN(1,8))</f>
        <v>W008</v>
      </c>
      <c r="F942">
        <f t="shared" ca="1" si="42"/>
        <v>7</v>
      </c>
      <c r="G942">
        <f ca="1">_xlfn.XLOOKUP(Orders[[#This Row],[Product ID]],Products[Product ID],Products[Selling Price])</f>
        <v>650</v>
      </c>
      <c r="H942" s="6">
        <f t="shared" ca="1" si="43"/>
        <v>0.2</v>
      </c>
      <c r="I942">
        <f ca="1">Orders[[#This Row],[Quantity]]*Orders[[#This Row],[Unit Price]]*(1-Orders[[#This Row],[Discount%]])</f>
        <v>3640</v>
      </c>
      <c r="J942" t="str" cm="1">
        <f t="array" aca="1" ref="J942" ca="1">INDEX(PaymentMethods[Payment Method],RANDBETWEEN(1,5))</f>
        <v>Cash</v>
      </c>
    </row>
    <row r="943" spans="1:10" x14ac:dyDescent="0.3">
      <c r="A943" t="str">
        <f t="shared" si="44"/>
        <v>O0942</v>
      </c>
      <c r="B943" s="6">
        <f ca="1">Orders[[#This Row],[Discount%]]</f>
        <v>0.16</v>
      </c>
      <c r="C943" t="str" cm="1">
        <f t="array" aca="1" ref="C943" ca="1">INDEX(Customers[Customer ID],RANDBETWEEN(1,200))</f>
        <v>C041</v>
      </c>
      <c r="D943" t="str" cm="1">
        <f t="array" aca="1" ref="D943" ca="1">INDEX(Products[Product ID],RANDBETWEEN(1,50))</f>
        <v>P036</v>
      </c>
      <c r="E943" t="str" cm="1">
        <f t="array" aca="1" ref="E943" ca="1">INDEX(Warehouses[Warehouse ID],RANDBETWEEN(1,8))</f>
        <v>W003</v>
      </c>
      <c r="F943">
        <f t="shared" ca="1" si="42"/>
        <v>10</v>
      </c>
      <c r="G943">
        <f ca="1">_xlfn.XLOOKUP(Orders[[#This Row],[Product ID]],Products[Product ID],Products[Selling Price])</f>
        <v>450</v>
      </c>
      <c r="H943" s="6">
        <f t="shared" ca="1" si="43"/>
        <v>0.16</v>
      </c>
      <c r="I943">
        <f ca="1">Orders[[#This Row],[Quantity]]*Orders[[#This Row],[Unit Price]]*(1-Orders[[#This Row],[Discount%]])</f>
        <v>3780</v>
      </c>
      <c r="J943" t="str" cm="1">
        <f t="array" aca="1" ref="J943" ca="1">INDEX(PaymentMethods[Payment Method],RANDBETWEEN(1,5))</f>
        <v>UPI</v>
      </c>
    </row>
    <row r="944" spans="1:10" x14ac:dyDescent="0.3">
      <c r="A944" t="str">
        <f t="shared" si="44"/>
        <v>O0943</v>
      </c>
      <c r="B944" s="6">
        <f ca="1">Orders[[#This Row],[Discount%]]</f>
        <v>0.08</v>
      </c>
      <c r="C944" t="str" cm="1">
        <f t="array" aca="1" ref="C944" ca="1">INDEX(Customers[Customer ID],RANDBETWEEN(1,200))</f>
        <v>C006</v>
      </c>
      <c r="D944" t="str" cm="1">
        <f t="array" aca="1" ref="D944" ca="1">INDEX(Products[Product ID],RANDBETWEEN(1,50))</f>
        <v>P028</v>
      </c>
      <c r="E944" t="str" cm="1">
        <f t="array" aca="1" ref="E944" ca="1">INDEX(Warehouses[Warehouse ID],RANDBETWEEN(1,8))</f>
        <v>W001</v>
      </c>
      <c r="F944">
        <f t="shared" ca="1" si="42"/>
        <v>10</v>
      </c>
      <c r="G944">
        <f ca="1">_xlfn.XLOOKUP(Orders[[#This Row],[Product ID]],Products[Product ID],Products[Selling Price])</f>
        <v>16500</v>
      </c>
      <c r="H944" s="6">
        <f t="shared" ca="1" si="43"/>
        <v>0.08</v>
      </c>
      <c r="I944">
        <f ca="1">Orders[[#This Row],[Quantity]]*Orders[[#This Row],[Unit Price]]*(1-Orders[[#This Row],[Discount%]])</f>
        <v>151800</v>
      </c>
      <c r="J944" t="str" cm="1">
        <f t="array" aca="1" ref="J944" ca="1">INDEX(PaymentMethods[Payment Method],RANDBETWEEN(1,5))</f>
        <v>UPI</v>
      </c>
    </row>
    <row r="945" spans="1:10" x14ac:dyDescent="0.3">
      <c r="A945" t="str">
        <f t="shared" si="44"/>
        <v>O0944</v>
      </c>
      <c r="B945" s="6">
        <f ca="1">Orders[[#This Row],[Discount%]]</f>
        <v>0.01</v>
      </c>
      <c r="C945" t="str" cm="1">
        <f t="array" aca="1" ref="C945" ca="1">INDEX(Customers[Customer ID],RANDBETWEEN(1,200))</f>
        <v>C021</v>
      </c>
      <c r="D945" t="str" cm="1">
        <f t="array" aca="1" ref="D945" ca="1">INDEX(Products[Product ID],RANDBETWEEN(1,50))</f>
        <v>P029</v>
      </c>
      <c r="E945" t="str" cm="1">
        <f t="array" aca="1" ref="E945" ca="1">INDEX(Warehouses[Warehouse ID],RANDBETWEEN(1,8))</f>
        <v>W007</v>
      </c>
      <c r="F945">
        <f t="shared" ca="1" si="42"/>
        <v>10</v>
      </c>
      <c r="G945">
        <f ca="1">_xlfn.XLOOKUP(Orders[[#This Row],[Product ID]],Products[Product ID],Products[Selling Price])</f>
        <v>3200</v>
      </c>
      <c r="H945" s="6">
        <f t="shared" ca="1" si="43"/>
        <v>0.01</v>
      </c>
      <c r="I945">
        <f ca="1">Orders[[#This Row],[Quantity]]*Orders[[#This Row],[Unit Price]]*(1-Orders[[#This Row],[Discount%]])</f>
        <v>31680</v>
      </c>
      <c r="J945" t="str" cm="1">
        <f t="array" aca="1" ref="J945" ca="1">INDEX(PaymentMethods[Payment Method],RANDBETWEEN(1,5))</f>
        <v>Net Banking</v>
      </c>
    </row>
    <row r="946" spans="1:10" x14ac:dyDescent="0.3">
      <c r="A946" t="str">
        <f t="shared" si="44"/>
        <v>O0945</v>
      </c>
      <c r="B946" s="6">
        <f ca="1">Orders[[#This Row],[Discount%]]</f>
        <v>0.15</v>
      </c>
      <c r="C946" t="str" cm="1">
        <f t="array" aca="1" ref="C946" ca="1">INDEX(Customers[Customer ID],RANDBETWEEN(1,200))</f>
        <v>C067</v>
      </c>
      <c r="D946" t="str" cm="1">
        <f t="array" aca="1" ref="D946" ca="1">INDEX(Products[Product ID],RANDBETWEEN(1,50))</f>
        <v>P030</v>
      </c>
      <c r="E946" t="str" cm="1">
        <f t="array" aca="1" ref="E946" ca="1">INDEX(Warehouses[Warehouse ID],RANDBETWEEN(1,8))</f>
        <v>W008</v>
      </c>
      <c r="F946">
        <f t="shared" ca="1" si="42"/>
        <v>5</v>
      </c>
      <c r="G946">
        <f ca="1">_xlfn.XLOOKUP(Orders[[#This Row],[Product ID]],Products[Product ID],Products[Selling Price])</f>
        <v>4800</v>
      </c>
      <c r="H946" s="6">
        <f t="shared" ca="1" si="43"/>
        <v>0.15</v>
      </c>
      <c r="I946">
        <f ca="1">Orders[[#This Row],[Quantity]]*Orders[[#This Row],[Unit Price]]*(1-Orders[[#This Row],[Discount%]])</f>
        <v>20400</v>
      </c>
      <c r="J946" t="str" cm="1">
        <f t="array" aca="1" ref="J946" ca="1">INDEX(PaymentMethods[Payment Method],RANDBETWEEN(1,5))</f>
        <v>Credit Card</v>
      </c>
    </row>
    <row r="947" spans="1:10" x14ac:dyDescent="0.3">
      <c r="A947" t="str">
        <f t="shared" si="44"/>
        <v>O0946</v>
      </c>
      <c r="B947" s="6">
        <f ca="1">Orders[[#This Row],[Discount%]]</f>
        <v>0.08</v>
      </c>
      <c r="C947" t="str" cm="1">
        <f t="array" aca="1" ref="C947" ca="1">INDEX(Customers[Customer ID],RANDBETWEEN(1,200))</f>
        <v>C026</v>
      </c>
      <c r="D947" t="str" cm="1">
        <f t="array" aca="1" ref="D947" ca="1">INDEX(Products[Product ID],RANDBETWEEN(1,50))</f>
        <v>P047</v>
      </c>
      <c r="E947" t="str" cm="1">
        <f t="array" aca="1" ref="E947" ca="1">INDEX(Warehouses[Warehouse ID],RANDBETWEEN(1,8))</f>
        <v>W001</v>
      </c>
      <c r="F947">
        <f t="shared" ca="1" si="42"/>
        <v>5</v>
      </c>
      <c r="G947">
        <f ca="1">_xlfn.XLOOKUP(Orders[[#This Row],[Product ID]],Products[Product ID],Products[Selling Price])</f>
        <v>6200</v>
      </c>
      <c r="H947" s="6">
        <f t="shared" ca="1" si="43"/>
        <v>0.08</v>
      </c>
      <c r="I947">
        <f ca="1">Orders[[#This Row],[Quantity]]*Orders[[#This Row],[Unit Price]]*(1-Orders[[#This Row],[Discount%]])</f>
        <v>28520</v>
      </c>
      <c r="J947" t="str" cm="1">
        <f t="array" aca="1" ref="J947" ca="1">INDEX(PaymentMethods[Payment Method],RANDBETWEEN(1,5))</f>
        <v>Net Banking</v>
      </c>
    </row>
    <row r="948" spans="1:10" x14ac:dyDescent="0.3">
      <c r="A948" t="str">
        <f t="shared" si="44"/>
        <v>O0947</v>
      </c>
      <c r="B948" s="6">
        <f ca="1">Orders[[#This Row],[Discount%]]</f>
        <v>0.11</v>
      </c>
      <c r="C948" t="str" cm="1">
        <f t="array" aca="1" ref="C948" ca="1">INDEX(Customers[Customer ID],RANDBETWEEN(1,200))</f>
        <v>C088</v>
      </c>
      <c r="D948" t="str" cm="1">
        <f t="array" aca="1" ref="D948" ca="1">INDEX(Products[Product ID],RANDBETWEEN(1,50))</f>
        <v>P016</v>
      </c>
      <c r="E948" t="str" cm="1">
        <f t="array" aca="1" ref="E948" ca="1">INDEX(Warehouses[Warehouse ID],RANDBETWEEN(1,8))</f>
        <v>W006</v>
      </c>
      <c r="F948">
        <f t="shared" ca="1" si="42"/>
        <v>3</v>
      </c>
      <c r="G948">
        <f ca="1">_xlfn.XLOOKUP(Orders[[#This Row],[Product ID]],Products[Product ID],Products[Selling Price])</f>
        <v>2500</v>
      </c>
      <c r="H948" s="6">
        <f t="shared" ca="1" si="43"/>
        <v>0.11</v>
      </c>
      <c r="I948">
        <f ca="1">Orders[[#This Row],[Quantity]]*Orders[[#This Row],[Unit Price]]*(1-Orders[[#This Row],[Discount%]])</f>
        <v>6675</v>
      </c>
      <c r="J948" t="str" cm="1">
        <f t="array" aca="1" ref="J948" ca="1">INDEX(PaymentMethods[Payment Method],RANDBETWEEN(1,5))</f>
        <v>Credit Card</v>
      </c>
    </row>
    <row r="949" spans="1:10" x14ac:dyDescent="0.3">
      <c r="A949" t="str">
        <f t="shared" si="44"/>
        <v>O0948</v>
      </c>
      <c r="B949" s="6">
        <f ca="1">Orders[[#This Row],[Discount%]]</f>
        <v>0.1</v>
      </c>
      <c r="C949" t="str" cm="1">
        <f t="array" aca="1" ref="C949" ca="1">INDEX(Customers[Customer ID],RANDBETWEEN(1,200))</f>
        <v>C046</v>
      </c>
      <c r="D949" t="str" cm="1">
        <f t="array" aca="1" ref="D949" ca="1">INDEX(Products[Product ID],RANDBETWEEN(1,50))</f>
        <v>P003</v>
      </c>
      <c r="E949" t="str" cm="1">
        <f t="array" aca="1" ref="E949" ca="1">INDEX(Warehouses[Warehouse ID],RANDBETWEEN(1,8))</f>
        <v>W006</v>
      </c>
      <c r="F949">
        <f t="shared" ca="1" si="42"/>
        <v>9</v>
      </c>
      <c r="G949">
        <f ca="1">_xlfn.XLOOKUP(Orders[[#This Row],[Product ID]],Products[Product ID],Products[Selling Price])</f>
        <v>900</v>
      </c>
      <c r="H949" s="6">
        <f t="shared" ca="1" si="43"/>
        <v>0.1</v>
      </c>
      <c r="I949">
        <f ca="1">Orders[[#This Row],[Quantity]]*Orders[[#This Row],[Unit Price]]*(1-Orders[[#This Row],[Discount%]])</f>
        <v>7290</v>
      </c>
      <c r="J949" t="str" cm="1">
        <f t="array" aca="1" ref="J949" ca="1">INDEX(PaymentMethods[Payment Method],RANDBETWEEN(1,5))</f>
        <v>Cash</v>
      </c>
    </row>
    <row r="950" spans="1:10" x14ac:dyDescent="0.3">
      <c r="A950" t="str">
        <f t="shared" si="44"/>
        <v>O0949</v>
      </c>
      <c r="B950" s="6">
        <f ca="1">Orders[[#This Row],[Discount%]]</f>
        <v>0.14000000000000001</v>
      </c>
      <c r="C950" t="str" cm="1">
        <f t="array" aca="1" ref="C950" ca="1">INDEX(Customers[Customer ID],RANDBETWEEN(1,200))</f>
        <v>C147</v>
      </c>
      <c r="D950" t="str" cm="1">
        <f t="array" aca="1" ref="D950" ca="1">INDEX(Products[Product ID],RANDBETWEEN(1,50))</f>
        <v>P041</v>
      </c>
      <c r="E950" t="str" cm="1">
        <f t="array" aca="1" ref="E950" ca="1">INDEX(Warehouses[Warehouse ID],RANDBETWEEN(1,8))</f>
        <v>W007</v>
      </c>
      <c r="F950">
        <f t="shared" ca="1" si="42"/>
        <v>3</v>
      </c>
      <c r="G950">
        <f ca="1">_xlfn.XLOOKUP(Orders[[#This Row],[Product ID]],Products[Product ID],Products[Selling Price])</f>
        <v>36000</v>
      </c>
      <c r="H950" s="6">
        <f t="shared" ca="1" si="43"/>
        <v>0.14000000000000001</v>
      </c>
      <c r="I950">
        <f ca="1">Orders[[#This Row],[Quantity]]*Orders[[#This Row],[Unit Price]]*(1-Orders[[#This Row],[Discount%]])</f>
        <v>92880</v>
      </c>
      <c r="J950" t="str" cm="1">
        <f t="array" aca="1" ref="J950" ca="1">INDEX(PaymentMethods[Payment Method],RANDBETWEEN(1,5))</f>
        <v>Net Banking</v>
      </c>
    </row>
    <row r="951" spans="1:10" x14ac:dyDescent="0.3">
      <c r="A951" t="str">
        <f t="shared" si="44"/>
        <v>O0950</v>
      </c>
      <c r="B951" s="6">
        <f ca="1">Orders[[#This Row],[Discount%]]</f>
        <v>0.17</v>
      </c>
      <c r="C951" t="str" cm="1">
        <f t="array" aca="1" ref="C951" ca="1">INDEX(Customers[Customer ID],RANDBETWEEN(1,200))</f>
        <v>C001</v>
      </c>
      <c r="D951" t="str" cm="1">
        <f t="array" aca="1" ref="D951" ca="1">INDEX(Products[Product ID],RANDBETWEEN(1,50))</f>
        <v>P017</v>
      </c>
      <c r="E951" t="str" cm="1">
        <f t="array" aca="1" ref="E951" ca="1">INDEX(Warehouses[Warehouse ID],RANDBETWEEN(1,8))</f>
        <v>W002</v>
      </c>
      <c r="F951">
        <f t="shared" ca="1" si="42"/>
        <v>4</v>
      </c>
      <c r="G951">
        <f ca="1">_xlfn.XLOOKUP(Orders[[#This Row],[Product ID]],Products[Product ID],Products[Selling Price])</f>
        <v>650</v>
      </c>
      <c r="H951" s="6">
        <f t="shared" ca="1" si="43"/>
        <v>0.17</v>
      </c>
      <c r="I951">
        <f ca="1">Orders[[#This Row],[Quantity]]*Orders[[#This Row],[Unit Price]]*(1-Orders[[#This Row],[Discount%]])</f>
        <v>2158</v>
      </c>
      <c r="J951" t="str" cm="1">
        <f t="array" aca="1" ref="J951" ca="1">INDEX(PaymentMethods[Payment Method],RANDBETWEEN(1,5))</f>
        <v>Cash</v>
      </c>
    </row>
    <row r="952" spans="1:10" x14ac:dyDescent="0.3">
      <c r="A952" t="str">
        <f t="shared" si="44"/>
        <v>O0951</v>
      </c>
      <c r="B952" s="6">
        <f ca="1">Orders[[#This Row],[Discount%]]</f>
        <v>0.09</v>
      </c>
      <c r="C952" t="str" cm="1">
        <f t="array" aca="1" ref="C952" ca="1">INDEX(Customers[Customer ID],RANDBETWEEN(1,200))</f>
        <v>C200</v>
      </c>
      <c r="D952" t="str" cm="1">
        <f t="array" aca="1" ref="D952" ca="1">INDEX(Products[Product ID],RANDBETWEEN(1,50))</f>
        <v>P041</v>
      </c>
      <c r="E952" t="str" cm="1">
        <f t="array" aca="1" ref="E952" ca="1">INDEX(Warehouses[Warehouse ID],RANDBETWEEN(1,8))</f>
        <v>W008</v>
      </c>
      <c r="F952">
        <f t="shared" ca="1" si="42"/>
        <v>5</v>
      </c>
      <c r="G952">
        <f ca="1">_xlfn.XLOOKUP(Orders[[#This Row],[Product ID]],Products[Product ID],Products[Selling Price])</f>
        <v>36000</v>
      </c>
      <c r="H952" s="6">
        <f t="shared" ca="1" si="43"/>
        <v>0.09</v>
      </c>
      <c r="I952">
        <f ca="1">Orders[[#This Row],[Quantity]]*Orders[[#This Row],[Unit Price]]*(1-Orders[[#This Row],[Discount%]])</f>
        <v>163800</v>
      </c>
      <c r="J952" t="str" cm="1">
        <f t="array" aca="1" ref="J952" ca="1">INDEX(PaymentMethods[Payment Method],RANDBETWEEN(1,5))</f>
        <v>Net Banking</v>
      </c>
    </row>
    <row r="953" spans="1:10" x14ac:dyDescent="0.3">
      <c r="A953" t="str">
        <f t="shared" si="44"/>
        <v>O0952</v>
      </c>
      <c r="B953" s="6">
        <f ca="1">Orders[[#This Row],[Discount%]]</f>
        <v>0.06</v>
      </c>
      <c r="C953" t="str" cm="1">
        <f t="array" aca="1" ref="C953" ca="1">INDEX(Customers[Customer ID],RANDBETWEEN(1,200))</f>
        <v>C143</v>
      </c>
      <c r="D953" t="str" cm="1">
        <f t="array" aca="1" ref="D953" ca="1">INDEX(Products[Product ID],RANDBETWEEN(1,50))</f>
        <v>P018</v>
      </c>
      <c r="E953" t="str" cm="1">
        <f t="array" aca="1" ref="E953" ca="1">INDEX(Warehouses[Warehouse ID],RANDBETWEEN(1,8))</f>
        <v>W004</v>
      </c>
      <c r="F953">
        <f t="shared" ca="1" si="42"/>
        <v>7</v>
      </c>
      <c r="G953">
        <f ca="1">_xlfn.XLOOKUP(Orders[[#This Row],[Product ID]],Products[Product ID],Products[Selling Price])</f>
        <v>1500</v>
      </c>
      <c r="H953" s="6">
        <f t="shared" ca="1" si="43"/>
        <v>0.06</v>
      </c>
      <c r="I953">
        <f ca="1">Orders[[#This Row],[Quantity]]*Orders[[#This Row],[Unit Price]]*(1-Orders[[#This Row],[Discount%]])</f>
        <v>9870</v>
      </c>
      <c r="J953" t="str" cm="1">
        <f t="array" aca="1" ref="J953" ca="1">INDEX(PaymentMethods[Payment Method],RANDBETWEEN(1,5))</f>
        <v>Debit Card</v>
      </c>
    </row>
    <row r="954" spans="1:10" x14ac:dyDescent="0.3">
      <c r="A954" t="str">
        <f t="shared" si="44"/>
        <v>O0953</v>
      </c>
      <c r="B954" s="6">
        <f ca="1">Orders[[#This Row],[Discount%]]</f>
        <v>0.05</v>
      </c>
      <c r="C954" t="str" cm="1">
        <f t="array" aca="1" ref="C954" ca="1">INDEX(Customers[Customer ID],RANDBETWEEN(1,200))</f>
        <v>C005</v>
      </c>
      <c r="D954" t="str" cm="1">
        <f t="array" aca="1" ref="D954" ca="1">INDEX(Products[Product ID],RANDBETWEEN(1,50))</f>
        <v>P032</v>
      </c>
      <c r="E954" t="str" cm="1">
        <f t="array" aca="1" ref="E954" ca="1">INDEX(Warehouses[Warehouse ID],RANDBETWEEN(1,8))</f>
        <v>W008</v>
      </c>
      <c r="F954">
        <f t="shared" ca="1" si="42"/>
        <v>3</v>
      </c>
      <c r="G954">
        <f ca="1">_xlfn.XLOOKUP(Orders[[#This Row],[Product ID]],Products[Product ID],Products[Selling Price])</f>
        <v>220</v>
      </c>
      <c r="H954" s="6">
        <f t="shared" ca="1" si="43"/>
        <v>0.05</v>
      </c>
      <c r="I954">
        <f ca="1">Orders[[#This Row],[Quantity]]*Orders[[#This Row],[Unit Price]]*(1-Orders[[#This Row],[Discount%]])</f>
        <v>627</v>
      </c>
      <c r="J954" t="str" cm="1">
        <f t="array" aca="1" ref="J954" ca="1">INDEX(PaymentMethods[Payment Method],RANDBETWEEN(1,5))</f>
        <v>Credit Card</v>
      </c>
    </row>
    <row r="955" spans="1:10" x14ac:dyDescent="0.3">
      <c r="A955" t="str">
        <f t="shared" si="44"/>
        <v>O0954</v>
      </c>
      <c r="B955" s="6">
        <f ca="1">Orders[[#This Row],[Discount%]]</f>
        <v>0.06</v>
      </c>
      <c r="C955" t="str" cm="1">
        <f t="array" aca="1" ref="C955" ca="1">INDEX(Customers[Customer ID],RANDBETWEEN(1,200))</f>
        <v>C017</v>
      </c>
      <c r="D955" t="str" cm="1">
        <f t="array" aca="1" ref="D955" ca="1">INDEX(Products[Product ID],RANDBETWEEN(1,50))</f>
        <v>P008</v>
      </c>
      <c r="E955" t="str" cm="1">
        <f t="array" aca="1" ref="E955" ca="1">INDEX(Warehouses[Warehouse ID],RANDBETWEEN(1,8))</f>
        <v>W003</v>
      </c>
      <c r="F955">
        <f t="shared" ca="1" si="42"/>
        <v>8</v>
      </c>
      <c r="G955">
        <f ca="1">_xlfn.XLOOKUP(Orders[[#This Row],[Product ID]],Products[Product ID],Products[Selling Price])</f>
        <v>4200</v>
      </c>
      <c r="H955" s="6">
        <f t="shared" ca="1" si="43"/>
        <v>0.06</v>
      </c>
      <c r="I955">
        <f ca="1">Orders[[#This Row],[Quantity]]*Orders[[#This Row],[Unit Price]]*(1-Orders[[#This Row],[Discount%]])</f>
        <v>31584</v>
      </c>
      <c r="J955" t="str" cm="1">
        <f t="array" aca="1" ref="J955" ca="1">INDEX(PaymentMethods[Payment Method],RANDBETWEEN(1,5))</f>
        <v>Credit Card</v>
      </c>
    </row>
    <row r="956" spans="1:10" x14ac:dyDescent="0.3">
      <c r="A956" t="str">
        <f t="shared" si="44"/>
        <v>O0955</v>
      </c>
      <c r="B956" s="6">
        <f ca="1">Orders[[#This Row],[Discount%]]</f>
        <v>0.11</v>
      </c>
      <c r="C956" t="str" cm="1">
        <f t="array" aca="1" ref="C956" ca="1">INDEX(Customers[Customer ID],RANDBETWEEN(1,200))</f>
        <v>C101</v>
      </c>
      <c r="D956" t="str" cm="1">
        <f t="array" aca="1" ref="D956" ca="1">INDEX(Products[Product ID],RANDBETWEEN(1,50))</f>
        <v>P048</v>
      </c>
      <c r="E956" t="str" cm="1">
        <f t="array" aca="1" ref="E956" ca="1">INDEX(Warehouses[Warehouse ID],RANDBETWEEN(1,8))</f>
        <v>W005</v>
      </c>
      <c r="F956">
        <f t="shared" ca="1" si="42"/>
        <v>5</v>
      </c>
      <c r="G956">
        <f ca="1">_xlfn.XLOOKUP(Orders[[#This Row],[Product ID]],Products[Product ID],Products[Selling Price])</f>
        <v>1200</v>
      </c>
      <c r="H956" s="6">
        <f t="shared" ca="1" si="43"/>
        <v>0.11</v>
      </c>
      <c r="I956">
        <f ca="1">Orders[[#This Row],[Quantity]]*Orders[[#This Row],[Unit Price]]*(1-Orders[[#This Row],[Discount%]])</f>
        <v>5340</v>
      </c>
      <c r="J956" t="str" cm="1">
        <f t="array" aca="1" ref="J956" ca="1">INDEX(PaymentMethods[Payment Method],RANDBETWEEN(1,5))</f>
        <v>Credit Card</v>
      </c>
    </row>
    <row r="957" spans="1:10" x14ac:dyDescent="0.3">
      <c r="A957" t="str">
        <f t="shared" si="44"/>
        <v>O0956</v>
      </c>
      <c r="B957" s="6">
        <f ca="1">Orders[[#This Row],[Discount%]]</f>
        <v>0.02</v>
      </c>
      <c r="C957" t="str" cm="1">
        <f t="array" aca="1" ref="C957" ca="1">INDEX(Customers[Customer ID],RANDBETWEEN(1,200))</f>
        <v>C175</v>
      </c>
      <c r="D957" t="str" cm="1">
        <f t="array" aca="1" ref="D957" ca="1">INDEX(Products[Product ID],RANDBETWEEN(1,50))</f>
        <v>P001</v>
      </c>
      <c r="E957" t="str" cm="1">
        <f t="array" aca="1" ref="E957" ca="1">INDEX(Warehouses[Warehouse ID],RANDBETWEEN(1,8))</f>
        <v>W005</v>
      </c>
      <c r="F957">
        <f t="shared" ca="1" si="42"/>
        <v>2</v>
      </c>
      <c r="G957">
        <f ca="1">_xlfn.XLOOKUP(Orders[[#This Row],[Product ID]],Products[Product ID],Products[Selling Price])</f>
        <v>42000</v>
      </c>
      <c r="H957" s="6">
        <f t="shared" ca="1" si="43"/>
        <v>0.02</v>
      </c>
      <c r="I957">
        <f ca="1">Orders[[#This Row],[Quantity]]*Orders[[#This Row],[Unit Price]]*(1-Orders[[#This Row],[Discount%]])</f>
        <v>82320</v>
      </c>
      <c r="J957" t="str" cm="1">
        <f t="array" aca="1" ref="J957" ca="1">INDEX(PaymentMethods[Payment Method],RANDBETWEEN(1,5))</f>
        <v>Cash</v>
      </c>
    </row>
    <row r="958" spans="1:10" x14ac:dyDescent="0.3">
      <c r="A958" t="str">
        <f t="shared" si="44"/>
        <v>O0957</v>
      </c>
      <c r="B958" s="6">
        <f ca="1">Orders[[#This Row],[Discount%]]</f>
        <v>0.04</v>
      </c>
      <c r="C958" t="str" cm="1">
        <f t="array" aca="1" ref="C958" ca="1">INDEX(Customers[Customer ID],RANDBETWEEN(1,200))</f>
        <v>C183</v>
      </c>
      <c r="D958" t="str" cm="1">
        <f t="array" aca="1" ref="D958" ca="1">INDEX(Products[Product ID],RANDBETWEEN(1,50))</f>
        <v>P010</v>
      </c>
      <c r="E958" t="str" cm="1">
        <f t="array" aca="1" ref="E958" ca="1">INDEX(Warehouses[Warehouse ID],RANDBETWEEN(1,8))</f>
        <v>W001</v>
      </c>
      <c r="F958">
        <f t="shared" ca="1" si="42"/>
        <v>7</v>
      </c>
      <c r="G958">
        <f ca="1">_xlfn.XLOOKUP(Orders[[#This Row],[Product ID]],Products[Product ID],Products[Selling Price])</f>
        <v>250</v>
      </c>
      <c r="H958" s="6">
        <f t="shared" ca="1" si="43"/>
        <v>0.04</v>
      </c>
      <c r="I958">
        <f ca="1">Orders[[#This Row],[Quantity]]*Orders[[#This Row],[Unit Price]]*(1-Orders[[#This Row],[Discount%]])</f>
        <v>1680</v>
      </c>
      <c r="J958" t="str" cm="1">
        <f t="array" aca="1" ref="J958" ca="1">INDEX(PaymentMethods[Payment Method],RANDBETWEEN(1,5))</f>
        <v>Net Banking</v>
      </c>
    </row>
    <row r="959" spans="1:10" x14ac:dyDescent="0.3">
      <c r="A959" t="str">
        <f t="shared" si="44"/>
        <v>O0958</v>
      </c>
      <c r="B959" s="6">
        <f ca="1">Orders[[#This Row],[Discount%]]</f>
        <v>0.18</v>
      </c>
      <c r="C959" t="str" cm="1">
        <f t="array" aca="1" ref="C959" ca="1">INDEX(Customers[Customer ID],RANDBETWEEN(1,200))</f>
        <v>C154</v>
      </c>
      <c r="D959" t="str" cm="1">
        <f t="array" aca="1" ref="D959" ca="1">INDEX(Products[Product ID],RANDBETWEEN(1,50))</f>
        <v>P019</v>
      </c>
      <c r="E959" t="str" cm="1">
        <f t="array" aca="1" ref="E959" ca="1">INDEX(Warehouses[Warehouse ID],RANDBETWEEN(1,8))</f>
        <v>W002</v>
      </c>
      <c r="F959">
        <f t="shared" ca="1" si="42"/>
        <v>2</v>
      </c>
      <c r="G959">
        <f ca="1">_xlfn.XLOOKUP(Orders[[#This Row],[Product ID]],Products[Product ID],Products[Selling Price])</f>
        <v>950</v>
      </c>
      <c r="H959" s="6">
        <f t="shared" ca="1" si="43"/>
        <v>0.18</v>
      </c>
      <c r="I959">
        <f ca="1">Orders[[#This Row],[Quantity]]*Orders[[#This Row],[Unit Price]]*(1-Orders[[#This Row],[Discount%]])</f>
        <v>1558.0000000000002</v>
      </c>
      <c r="J959" t="str" cm="1">
        <f t="array" aca="1" ref="J959" ca="1">INDEX(PaymentMethods[Payment Method],RANDBETWEEN(1,5))</f>
        <v>Cash</v>
      </c>
    </row>
    <row r="960" spans="1:10" x14ac:dyDescent="0.3">
      <c r="A960" t="str">
        <f t="shared" si="44"/>
        <v>O0959</v>
      </c>
      <c r="B960" s="6">
        <f ca="1">Orders[[#This Row],[Discount%]]</f>
        <v>0.06</v>
      </c>
      <c r="C960" t="str" cm="1">
        <f t="array" aca="1" ref="C960" ca="1">INDEX(Customers[Customer ID],RANDBETWEEN(1,200))</f>
        <v>C157</v>
      </c>
      <c r="D960" t="str" cm="1">
        <f t="array" aca="1" ref="D960" ca="1">INDEX(Products[Product ID],RANDBETWEEN(1,50))</f>
        <v>P042</v>
      </c>
      <c r="E960" t="str" cm="1">
        <f t="array" aca="1" ref="E960" ca="1">INDEX(Warehouses[Warehouse ID],RANDBETWEEN(1,8))</f>
        <v>W006</v>
      </c>
      <c r="F960">
        <f t="shared" ca="1" si="42"/>
        <v>8</v>
      </c>
      <c r="G960">
        <f ca="1">_xlfn.XLOOKUP(Orders[[#This Row],[Product ID]],Products[Product ID],Products[Selling Price])</f>
        <v>29000</v>
      </c>
      <c r="H960" s="6">
        <f t="shared" ca="1" si="43"/>
        <v>0.06</v>
      </c>
      <c r="I960">
        <f ca="1">Orders[[#This Row],[Quantity]]*Orders[[#This Row],[Unit Price]]*(1-Orders[[#This Row],[Discount%]])</f>
        <v>218080</v>
      </c>
      <c r="J960" t="str" cm="1">
        <f t="array" aca="1" ref="J960" ca="1">INDEX(PaymentMethods[Payment Method],RANDBETWEEN(1,5))</f>
        <v>Net Banking</v>
      </c>
    </row>
    <row r="961" spans="1:10" x14ac:dyDescent="0.3">
      <c r="A961" t="str">
        <f t="shared" si="44"/>
        <v>O0960</v>
      </c>
      <c r="B961" s="6">
        <f ca="1">Orders[[#This Row],[Discount%]]</f>
        <v>0.2</v>
      </c>
      <c r="C961" t="str" cm="1">
        <f t="array" aca="1" ref="C961" ca="1">INDEX(Customers[Customer ID],RANDBETWEEN(1,200))</f>
        <v>C057</v>
      </c>
      <c r="D961" t="str" cm="1">
        <f t="array" aca="1" ref="D961" ca="1">INDEX(Products[Product ID],RANDBETWEEN(1,50))</f>
        <v>P014</v>
      </c>
      <c r="E961" t="str" cm="1">
        <f t="array" aca="1" ref="E961" ca="1">INDEX(Warehouses[Warehouse ID],RANDBETWEEN(1,8))</f>
        <v>W002</v>
      </c>
      <c r="F961">
        <f t="shared" ca="1" si="42"/>
        <v>2</v>
      </c>
      <c r="G961">
        <f ca="1">_xlfn.XLOOKUP(Orders[[#This Row],[Product ID]],Products[Product ID],Products[Selling Price])</f>
        <v>800</v>
      </c>
      <c r="H961" s="6">
        <f t="shared" ca="1" si="43"/>
        <v>0.2</v>
      </c>
      <c r="I961">
        <f ca="1">Orders[[#This Row],[Quantity]]*Orders[[#This Row],[Unit Price]]*(1-Orders[[#This Row],[Discount%]])</f>
        <v>1280</v>
      </c>
      <c r="J961" t="str" cm="1">
        <f t="array" aca="1" ref="J961" ca="1">INDEX(PaymentMethods[Payment Method],RANDBETWEEN(1,5))</f>
        <v>Debit Card</v>
      </c>
    </row>
    <row r="962" spans="1:10" x14ac:dyDescent="0.3">
      <c r="A962" t="str">
        <f t="shared" si="44"/>
        <v>O0961</v>
      </c>
      <c r="B962" s="6">
        <f ca="1">Orders[[#This Row],[Discount%]]</f>
        <v>0.02</v>
      </c>
      <c r="C962" t="str" cm="1">
        <f t="array" aca="1" ref="C962" ca="1">INDEX(Customers[Customer ID],RANDBETWEEN(1,200))</f>
        <v>C079</v>
      </c>
      <c r="D962" t="str" cm="1">
        <f t="array" aca="1" ref="D962" ca="1">INDEX(Products[Product ID],RANDBETWEEN(1,50))</f>
        <v>P038</v>
      </c>
      <c r="E962" t="str" cm="1">
        <f t="array" aca="1" ref="E962" ca="1">INDEX(Warehouses[Warehouse ID],RANDBETWEEN(1,8))</f>
        <v>W001</v>
      </c>
      <c r="F962">
        <f t="shared" ref="F962:F1001" ca="1" si="45">RANDBETWEEN(1,10)</f>
        <v>9</v>
      </c>
      <c r="G962">
        <f ca="1">_xlfn.XLOOKUP(Orders[[#This Row],[Product ID]],Products[Product ID],Products[Selling Price])</f>
        <v>1500</v>
      </c>
      <c r="H962" s="6">
        <f t="shared" ref="H962:H1001" ca="1" si="46">RANDBETWEEN(0,20)/100</f>
        <v>0.02</v>
      </c>
      <c r="I962">
        <f ca="1">Orders[[#This Row],[Quantity]]*Orders[[#This Row],[Unit Price]]*(1-Orders[[#This Row],[Discount%]])</f>
        <v>13230</v>
      </c>
      <c r="J962" t="str" cm="1">
        <f t="array" aca="1" ref="J962" ca="1">INDEX(PaymentMethods[Payment Method],RANDBETWEEN(1,5))</f>
        <v>Cash</v>
      </c>
    </row>
    <row r="963" spans="1:10" x14ac:dyDescent="0.3">
      <c r="A963" t="str">
        <f t="shared" ref="A963:A1001" si="47">"O"&amp;TEXT(ROW()-1,"0000")</f>
        <v>O0962</v>
      </c>
      <c r="B963" s="6">
        <f ca="1">Orders[[#This Row],[Discount%]]</f>
        <v>0.05</v>
      </c>
      <c r="C963" t="str" cm="1">
        <f t="array" aca="1" ref="C963" ca="1">INDEX(Customers[Customer ID],RANDBETWEEN(1,200))</f>
        <v>C160</v>
      </c>
      <c r="D963" t="str" cm="1">
        <f t="array" aca="1" ref="D963" ca="1">INDEX(Products[Product ID],RANDBETWEEN(1,50))</f>
        <v>P036</v>
      </c>
      <c r="E963" t="str" cm="1">
        <f t="array" aca="1" ref="E963" ca="1">INDEX(Warehouses[Warehouse ID],RANDBETWEEN(1,8))</f>
        <v>W001</v>
      </c>
      <c r="F963">
        <f t="shared" ca="1" si="45"/>
        <v>5</v>
      </c>
      <c r="G963">
        <f ca="1">_xlfn.XLOOKUP(Orders[[#This Row],[Product ID]],Products[Product ID],Products[Selling Price])</f>
        <v>450</v>
      </c>
      <c r="H963" s="6">
        <f t="shared" ca="1" si="46"/>
        <v>0.05</v>
      </c>
      <c r="I963">
        <f ca="1">Orders[[#This Row],[Quantity]]*Orders[[#This Row],[Unit Price]]*(1-Orders[[#This Row],[Discount%]])</f>
        <v>2137.5</v>
      </c>
      <c r="J963" t="str" cm="1">
        <f t="array" aca="1" ref="J963" ca="1">INDEX(PaymentMethods[Payment Method],RANDBETWEEN(1,5))</f>
        <v>Debit Card</v>
      </c>
    </row>
    <row r="964" spans="1:10" x14ac:dyDescent="0.3">
      <c r="A964" t="str">
        <f t="shared" si="47"/>
        <v>O0963</v>
      </c>
      <c r="B964" s="6">
        <f ca="1">Orders[[#This Row],[Discount%]]</f>
        <v>0.14000000000000001</v>
      </c>
      <c r="C964" t="str" cm="1">
        <f t="array" aca="1" ref="C964" ca="1">INDEX(Customers[Customer ID],RANDBETWEEN(1,200))</f>
        <v>C146</v>
      </c>
      <c r="D964" t="str" cm="1">
        <f t="array" aca="1" ref="D964" ca="1">INDEX(Products[Product ID],RANDBETWEEN(1,50))</f>
        <v>P003</v>
      </c>
      <c r="E964" t="str" cm="1">
        <f t="array" aca="1" ref="E964" ca="1">INDEX(Warehouses[Warehouse ID],RANDBETWEEN(1,8))</f>
        <v>W001</v>
      </c>
      <c r="F964">
        <f t="shared" ca="1" si="45"/>
        <v>7</v>
      </c>
      <c r="G964">
        <f ca="1">_xlfn.XLOOKUP(Orders[[#This Row],[Product ID]],Products[Product ID],Products[Selling Price])</f>
        <v>900</v>
      </c>
      <c r="H964" s="6">
        <f t="shared" ca="1" si="46"/>
        <v>0.14000000000000001</v>
      </c>
      <c r="I964">
        <f ca="1">Orders[[#This Row],[Quantity]]*Orders[[#This Row],[Unit Price]]*(1-Orders[[#This Row],[Discount%]])</f>
        <v>5418</v>
      </c>
      <c r="J964" t="str" cm="1">
        <f t="array" aca="1" ref="J964" ca="1">INDEX(PaymentMethods[Payment Method],RANDBETWEEN(1,5))</f>
        <v>Net Banking</v>
      </c>
    </row>
    <row r="965" spans="1:10" x14ac:dyDescent="0.3">
      <c r="A965" t="str">
        <f t="shared" si="47"/>
        <v>O0964</v>
      </c>
      <c r="B965" s="6">
        <f ca="1">Orders[[#This Row],[Discount%]]</f>
        <v>0.16</v>
      </c>
      <c r="C965" t="str" cm="1">
        <f t="array" aca="1" ref="C965" ca="1">INDEX(Customers[Customer ID],RANDBETWEEN(1,200))</f>
        <v>C106</v>
      </c>
      <c r="D965" t="str" cm="1">
        <f t="array" aca="1" ref="D965" ca="1">INDEX(Products[Product ID],RANDBETWEEN(1,50))</f>
        <v>P012</v>
      </c>
      <c r="E965" t="str" cm="1">
        <f t="array" aca="1" ref="E965" ca="1">INDEX(Warehouses[Warehouse ID],RANDBETWEEN(1,8))</f>
        <v>W005</v>
      </c>
      <c r="F965">
        <f t="shared" ca="1" si="45"/>
        <v>3</v>
      </c>
      <c r="G965">
        <f ca="1">_xlfn.XLOOKUP(Orders[[#This Row],[Product ID]],Products[Product ID],Products[Selling Price])</f>
        <v>80</v>
      </c>
      <c r="H965" s="6">
        <f t="shared" ca="1" si="46"/>
        <v>0.16</v>
      </c>
      <c r="I965">
        <f ca="1">Orders[[#This Row],[Quantity]]*Orders[[#This Row],[Unit Price]]*(1-Orders[[#This Row],[Discount%]])</f>
        <v>201.6</v>
      </c>
      <c r="J965" t="str" cm="1">
        <f t="array" aca="1" ref="J965" ca="1">INDEX(PaymentMethods[Payment Method],RANDBETWEEN(1,5))</f>
        <v>Net Banking</v>
      </c>
    </row>
    <row r="966" spans="1:10" x14ac:dyDescent="0.3">
      <c r="A966" t="str">
        <f t="shared" si="47"/>
        <v>O0965</v>
      </c>
      <c r="B966" s="6">
        <f ca="1">Orders[[#This Row],[Discount%]]</f>
        <v>0.14000000000000001</v>
      </c>
      <c r="C966" t="str" cm="1">
        <f t="array" aca="1" ref="C966" ca="1">INDEX(Customers[Customer ID],RANDBETWEEN(1,200))</f>
        <v>C119</v>
      </c>
      <c r="D966" t="str" cm="1">
        <f t="array" aca="1" ref="D966" ca="1">INDEX(Products[Product ID],RANDBETWEEN(1,50))</f>
        <v>P048</v>
      </c>
      <c r="E966" t="str" cm="1">
        <f t="array" aca="1" ref="E966" ca="1">INDEX(Warehouses[Warehouse ID],RANDBETWEEN(1,8))</f>
        <v>W006</v>
      </c>
      <c r="F966">
        <f t="shared" ca="1" si="45"/>
        <v>10</v>
      </c>
      <c r="G966">
        <f ca="1">_xlfn.XLOOKUP(Orders[[#This Row],[Product ID]],Products[Product ID],Products[Selling Price])</f>
        <v>1200</v>
      </c>
      <c r="H966" s="6">
        <f t="shared" ca="1" si="46"/>
        <v>0.14000000000000001</v>
      </c>
      <c r="I966">
        <f ca="1">Orders[[#This Row],[Quantity]]*Orders[[#This Row],[Unit Price]]*(1-Orders[[#This Row],[Discount%]])</f>
        <v>10320</v>
      </c>
      <c r="J966" t="str" cm="1">
        <f t="array" aca="1" ref="J966" ca="1">INDEX(PaymentMethods[Payment Method],RANDBETWEEN(1,5))</f>
        <v>Cash</v>
      </c>
    </row>
    <row r="967" spans="1:10" x14ac:dyDescent="0.3">
      <c r="A967" t="str">
        <f t="shared" si="47"/>
        <v>O0966</v>
      </c>
      <c r="B967" s="6">
        <f ca="1">Orders[[#This Row],[Discount%]]</f>
        <v>0.12</v>
      </c>
      <c r="C967" t="str" cm="1">
        <f t="array" aca="1" ref="C967" ca="1">INDEX(Customers[Customer ID],RANDBETWEEN(1,200))</f>
        <v>C188</v>
      </c>
      <c r="D967" t="str" cm="1">
        <f t="array" aca="1" ref="D967" ca="1">INDEX(Products[Product ID],RANDBETWEEN(1,50))</f>
        <v>P032</v>
      </c>
      <c r="E967" t="str" cm="1">
        <f t="array" aca="1" ref="E967" ca="1">INDEX(Warehouses[Warehouse ID],RANDBETWEEN(1,8))</f>
        <v>W008</v>
      </c>
      <c r="F967">
        <f t="shared" ca="1" si="45"/>
        <v>4</v>
      </c>
      <c r="G967">
        <f ca="1">_xlfn.XLOOKUP(Orders[[#This Row],[Product ID]],Products[Product ID],Products[Selling Price])</f>
        <v>220</v>
      </c>
      <c r="H967" s="6">
        <f t="shared" ca="1" si="46"/>
        <v>0.12</v>
      </c>
      <c r="I967">
        <f ca="1">Orders[[#This Row],[Quantity]]*Orders[[#This Row],[Unit Price]]*(1-Orders[[#This Row],[Discount%]])</f>
        <v>774.4</v>
      </c>
      <c r="J967" t="str" cm="1">
        <f t="array" aca="1" ref="J967" ca="1">INDEX(PaymentMethods[Payment Method],RANDBETWEEN(1,5))</f>
        <v>Net Banking</v>
      </c>
    </row>
    <row r="968" spans="1:10" x14ac:dyDescent="0.3">
      <c r="A968" t="str">
        <f t="shared" si="47"/>
        <v>O0967</v>
      </c>
      <c r="B968" s="6">
        <f ca="1">Orders[[#This Row],[Discount%]]</f>
        <v>0.2</v>
      </c>
      <c r="C968" t="str" cm="1">
        <f t="array" aca="1" ref="C968" ca="1">INDEX(Customers[Customer ID],RANDBETWEEN(1,200))</f>
        <v>C156</v>
      </c>
      <c r="D968" t="str" cm="1">
        <f t="array" aca="1" ref="D968" ca="1">INDEX(Products[Product ID],RANDBETWEEN(1,50))</f>
        <v>P034</v>
      </c>
      <c r="E968" t="str" cm="1">
        <f t="array" aca="1" ref="E968" ca="1">INDEX(Warehouses[Warehouse ID],RANDBETWEEN(1,8))</f>
        <v>W004</v>
      </c>
      <c r="F968">
        <f t="shared" ca="1" si="45"/>
        <v>7</v>
      </c>
      <c r="G968">
        <f ca="1">_xlfn.XLOOKUP(Orders[[#This Row],[Product ID]],Products[Product ID],Products[Selling Price])</f>
        <v>120</v>
      </c>
      <c r="H968" s="6">
        <f t="shared" ca="1" si="46"/>
        <v>0.2</v>
      </c>
      <c r="I968">
        <f ca="1">Orders[[#This Row],[Quantity]]*Orders[[#This Row],[Unit Price]]*(1-Orders[[#This Row],[Discount%]])</f>
        <v>672</v>
      </c>
      <c r="J968" t="str" cm="1">
        <f t="array" aca="1" ref="J968" ca="1">INDEX(PaymentMethods[Payment Method],RANDBETWEEN(1,5))</f>
        <v>Credit Card</v>
      </c>
    </row>
    <row r="969" spans="1:10" x14ac:dyDescent="0.3">
      <c r="A969" t="str">
        <f t="shared" si="47"/>
        <v>O0968</v>
      </c>
      <c r="B969" s="6">
        <f ca="1">Orders[[#This Row],[Discount%]]</f>
        <v>0.01</v>
      </c>
      <c r="C969" t="str" cm="1">
        <f t="array" aca="1" ref="C969" ca="1">INDEX(Customers[Customer ID],RANDBETWEEN(1,200))</f>
        <v>C187</v>
      </c>
      <c r="D969" t="str" cm="1">
        <f t="array" aca="1" ref="D969" ca="1">INDEX(Products[Product ID],RANDBETWEEN(1,50))</f>
        <v>P034</v>
      </c>
      <c r="E969" t="str" cm="1">
        <f t="array" aca="1" ref="E969" ca="1">INDEX(Warehouses[Warehouse ID],RANDBETWEEN(1,8))</f>
        <v>W008</v>
      </c>
      <c r="F969">
        <f t="shared" ca="1" si="45"/>
        <v>7</v>
      </c>
      <c r="G969">
        <f ca="1">_xlfn.XLOOKUP(Orders[[#This Row],[Product ID]],Products[Product ID],Products[Selling Price])</f>
        <v>120</v>
      </c>
      <c r="H969" s="6">
        <f t="shared" ca="1" si="46"/>
        <v>0.01</v>
      </c>
      <c r="I969">
        <f ca="1">Orders[[#This Row],[Quantity]]*Orders[[#This Row],[Unit Price]]*(1-Orders[[#This Row],[Discount%]])</f>
        <v>831.6</v>
      </c>
      <c r="J969" t="str" cm="1">
        <f t="array" aca="1" ref="J969" ca="1">INDEX(PaymentMethods[Payment Method],RANDBETWEEN(1,5))</f>
        <v>Cash</v>
      </c>
    </row>
    <row r="970" spans="1:10" x14ac:dyDescent="0.3">
      <c r="A970" t="str">
        <f t="shared" si="47"/>
        <v>O0969</v>
      </c>
      <c r="B970" s="6">
        <f ca="1">Orders[[#This Row],[Discount%]]</f>
        <v>0.04</v>
      </c>
      <c r="C970" t="str" cm="1">
        <f t="array" aca="1" ref="C970" ca="1">INDEX(Customers[Customer ID],RANDBETWEEN(1,200))</f>
        <v>C006</v>
      </c>
      <c r="D970" t="str" cm="1">
        <f t="array" aca="1" ref="D970" ca="1">INDEX(Products[Product ID],RANDBETWEEN(1,50))</f>
        <v>P001</v>
      </c>
      <c r="E970" t="str" cm="1">
        <f t="array" aca="1" ref="E970" ca="1">INDEX(Warehouses[Warehouse ID],RANDBETWEEN(1,8))</f>
        <v>W004</v>
      </c>
      <c r="F970">
        <f t="shared" ca="1" si="45"/>
        <v>9</v>
      </c>
      <c r="G970">
        <f ca="1">_xlfn.XLOOKUP(Orders[[#This Row],[Product ID]],Products[Product ID],Products[Selling Price])</f>
        <v>42000</v>
      </c>
      <c r="H970" s="6">
        <f t="shared" ca="1" si="46"/>
        <v>0.04</v>
      </c>
      <c r="I970">
        <f ca="1">Orders[[#This Row],[Quantity]]*Orders[[#This Row],[Unit Price]]*(1-Orders[[#This Row],[Discount%]])</f>
        <v>362880</v>
      </c>
      <c r="J970" t="str" cm="1">
        <f t="array" aca="1" ref="J970" ca="1">INDEX(PaymentMethods[Payment Method],RANDBETWEEN(1,5))</f>
        <v>UPI</v>
      </c>
    </row>
    <row r="971" spans="1:10" x14ac:dyDescent="0.3">
      <c r="A971" t="str">
        <f t="shared" si="47"/>
        <v>O0970</v>
      </c>
      <c r="B971" s="6">
        <f ca="1">Orders[[#This Row],[Discount%]]</f>
        <v>0.09</v>
      </c>
      <c r="C971" t="str" cm="1">
        <f t="array" aca="1" ref="C971" ca="1">INDEX(Customers[Customer ID],RANDBETWEEN(1,200))</f>
        <v>C112</v>
      </c>
      <c r="D971" t="str" cm="1">
        <f t="array" aca="1" ref="D971" ca="1">INDEX(Products[Product ID],RANDBETWEEN(1,50))</f>
        <v>P001</v>
      </c>
      <c r="E971" t="str" cm="1">
        <f t="array" aca="1" ref="E971" ca="1">INDEX(Warehouses[Warehouse ID],RANDBETWEEN(1,8))</f>
        <v>W003</v>
      </c>
      <c r="F971">
        <f t="shared" ca="1" si="45"/>
        <v>9</v>
      </c>
      <c r="G971">
        <f ca="1">_xlfn.XLOOKUP(Orders[[#This Row],[Product ID]],Products[Product ID],Products[Selling Price])</f>
        <v>42000</v>
      </c>
      <c r="H971" s="6">
        <f t="shared" ca="1" si="46"/>
        <v>0.09</v>
      </c>
      <c r="I971">
        <f ca="1">Orders[[#This Row],[Quantity]]*Orders[[#This Row],[Unit Price]]*(1-Orders[[#This Row],[Discount%]])</f>
        <v>343980</v>
      </c>
      <c r="J971" t="str" cm="1">
        <f t="array" aca="1" ref="J971" ca="1">INDEX(PaymentMethods[Payment Method],RANDBETWEEN(1,5))</f>
        <v>Net Banking</v>
      </c>
    </row>
    <row r="972" spans="1:10" x14ac:dyDescent="0.3">
      <c r="A972" t="str">
        <f t="shared" si="47"/>
        <v>O0971</v>
      </c>
      <c r="B972" s="6">
        <f ca="1">Orders[[#This Row],[Discount%]]</f>
        <v>0.01</v>
      </c>
      <c r="C972" t="str" cm="1">
        <f t="array" aca="1" ref="C972" ca="1">INDEX(Customers[Customer ID],RANDBETWEEN(1,200))</f>
        <v>C143</v>
      </c>
      <c r="D972" t="str" cm="1">
        <f t="array" aca="1" ref="D972" ca="1">INDEX(Products[Product ID],RANDBETWEEN(1,50))</f>
        <v>P031</v>
      </c>
      <c r="E972" t="str" cm="1">
        <f t="array" aca="1" ref="E972" ca="1">INDEX(Warehouses[Warehouse ID],RANDBETWEEN(1,8))</f>
        <v>W002</v>
      </c>
      <c r="F972">
        <f t="shared" ca="1" si="45"/>
        <v>3</v>
      </c>
      <c r="G972">
        <f ca="1">_xlfn.XLOOKUP(Orders[[#This Row],[Product ID]],Products[Product ID],Products[Selling Price])</f>
        <v>90</v>
      </c>
      <c r="H972" s="6">
        <f t="shared" ca="1" si="46"/>
        <v>0.01</v>
      </c>
      <c r="I972">
        <f ca="1">Orders[[#This Row],[Quantity]]*Orders[[#This Row],[Unit Price]]*(1-Orders[[#This Row],[Discount%]])</f>
        <v>267.3</v>
      </c>
      <c r="J972" t="str" cm="1">
        <f t="array" aca="1" ref="J972" ca="1">INDEX(PaymentMethods[Payment Method],RANDBETWEEN(1,5))</f>
        <v>Debit Card</v>
      </c>
    </row>
    <row r="973" spans="1:10" x14ac:dyDescent="0.3">
      <c r="A973" t="str">
        <f t="shared" si="47"/>
        <v>O0972</v>
      </c>
      <c r="B973" s="6">
        <f ca="1">Orders[[#This Row],[Discount%]]</f>
        <v>0.06</v>
      </c>
      <c r="C973" t="str" cm="1">
        <f t="array" aca="1" ref="C973" ca="1">INDEX(Customers[Customer ID],RANDBETWEEN(1,200))</f>
        <v>C023</v>
      </c>
      <c r="D973" t="str" cm="1">
        <f t="array" aca="1" ref="D973" ca="1">INDEX(Products[Product ID],RANDBETWEEN(1,50))</f>
        <v>P049</v>
      </c>
      <c r="E973" t="str" cm="1">
        <f t="array" aca="1" ref="E973" ca="1">INDEX(Warehouses[Warehouse ID],RANDBETWEEN(1,8))</f>
        <v>W005</v>
      </c>
      <c r="F973">
        <f t="shared" ca="1" si="45"/>
        <v>2</v>
      </c>
      <c r="G973">
        <f ca="1">_xlfn.XLOOKUP(Orders[[#This Row],[Product ID]],Products[Product ID],Products[Selling Price])</f>
        <v>3800</v>
      </c>
      <c r="H973" s="6">
        <f t="shared" ca="1" si="46"/>
        <v>0.06</v>
      </c>
      <c r="I973">
        <f ca="1">Orders[[#This Row],[Quantity]]*Orders[[#This Row],[Unit Price]]*(1-Orders[[#This Row],[Discount%]])</f>
        <v>7144</v>
      </c>
      <c r="J973" t="str" cm="1">
        <f t="array" aca="1" ref="J973" ca="1">INDEX(PaymentMethods[Payment Method],RANDBETWEEN(1,5))</f>
        <v>Debit Card</v>
      </c>
    </row>
    <row r="974" spans="1:10" x14ac:dyDescent="0.3">
      <c r="A974" t="str">
        <f t="shared" si="47"/>
        <v>O0973</v>
      </c>
      <c r="B974" s="6">
        <f ca="1">Orders[[#This Row],[Discount%]]</f>
        <v>0.05</v>
      </c>
      <c r="C974" t="str" cm="1">
        <f t="array" aca="1" ref="C974" ca="1">INDEX(Customers[Customer ID],RANDBETWEEN(1,200))</f>
        <v>C067</v>
      </c>
      <c r="D974" t="str" cm="1">
        <f t="array" aca="1" ref="D974" ca="1">INDEX(Products[Product ID],RANDBETWEEN(1,50))</f>
        <v>P036</v>
      </c>
      <c r="E974" t="str" cm="1">
        <f t="array" aca="1" ref="E974" ca="1">INDEX(Warehouses[Warehouse ID],RANDBETWEEN(1,8))</f>
        <v>W006</v>
      </c>
      <c r="F974">
        <f t="shared" ca="1" si="45"/>
        <v>10</v>
      </c>
      <c r="G974">
        <f ca="1">_xlfn.XLOOKUP(Orders[[#This Row],[Product ID]],Products[Product ID],Products[Selling Price])</f>
        <v>450</v>
      </c>
      <c r="H974" s="6">
        <f t="shared" ca="1" si="46"/>
        <v>0.05</v>
      </c>
      <c r="I974">
        <f ca="1">Orders[[#This Row],[Quantity]]*Orders[[#This Row],[Unit Price]]*(1-Orders[[#This Row],[Discount%]])</f>
        <v>4275</v>
      </c>
      <c r="J974" t="str" cm="1">
        <f t="array" aca="1" ref="J974" ca="1">INDEX(PaymentMethods[Payment Method],RANDBETWEEN(1,5))</f>
        <v>Cash</v>
      </c>
    </row>
    <row r="975" spans="1:10" x14ac:dyDescent="0.3">
      <c r="A975" t="str">
        <f t="shared" si="47"/>
        <v>O0974</v>
      </c>
      <c r="B975" s="6">
        <f ca="1">Orders[[#This Row],[Discount%]]</f>
        <v>0.09</v>
      </c>
      <c r="C975" t="str" cm="1">
        <f t="array" aca="1" ref="C975" ca="1">INDEX(Customers[Customer ID],RANDBETWEEN(1,200))</f>
        <v>C181</v>
      </c>
      <c r="D975" t="str" cm="1">
        <f t="array" aca="1" ref="D975" ca="1">INDEX(Products[Product ID],RANDBETWEEN(1,50))</f>
        <v>P044</v>
      </c>
      <c r="E975" t="str" cm="1">
        <f t="array" aca="1" ref="E975" ca="1">INDEX(Warehouses[Warehouse ID],RANDBETWEEN(1,8))</f>
        <v>W008</v>
      </c>
      <c r="F975">
        <f t="shared" ca="1" si="45"/>
        <v>4</v>
      </c>
      <c r="G975">
        <f ca="1">_xlfn.XLOOKUP(Orders[[#This Row],[Product ID]],Products[Product ID],Products[Selling Price])</f>
        <v>8500</v>
      </c>
      <c r="H975" s="6">
        <f t="shared" ca="1" si="46"/>
        <v>0.09</v>
      </c>
      <c r="I975">
        <f ca="1">Orders[[#This Row],[Quantity]]*Orders[[#This Row],[Unit Price]]*(1-Orders[[#This Row],[Discount%]])</f>
        <v>30940</v>
      </c>
      <c r="J975" t="str" cm="1">
        <f t="array" aca="1" ref="J975" ca="1">INDEX(PaymentMethods[Payment Method],RANDBETWEEN(1,5))</f>
        <v>Net Banking</v>
      </c>
    </row>
    <row r="976" spans="1:10" x14ac:dyDescent="0.3">
      <c r="A976" t="str">
        <f t="shared" si="47"/>
        <v>O0975</v>
      </c>
      <c r="B976" s="6">
        <f ca="1">Orders[[#This Row],[Discount%]]</f>
        <v>0.08</v>
      </c>
      <c r="C976" t="str" cm="1">
        <f t="array" aca="1" ref="C976" ca="1">INDEX(Customers[Customer ID],RANDBETWEEN(1,200))</f>
        <v>C025</v>
      </c>
      <c r="D976" t="str" cm="1">
        <f t="array" aca="1" ref="D976" ca="1">INDEX(Products[Product ID],RANDBETWEEN(1,50))</f>
        <v>P022</v>
      </c>
      <c r="E976" t="str" cm="1">
        <f t="array" aca="1" ref="E976" ca="1">INDEX(Warehouses[Warehouse ID],RANDBETWEEN(1,8))</f>
        <v>W002</v>
      </c>
      <c r="F976">
        <f t="shared" ca="1" si="45"/>
        <v>2</v>
      </c>
      <c r="G976">
        <f ca="1">_xlfn.XLOOKUP(Orders[[#This Row],[Product ID]],Products[Product ID],Products[Selling Price])</f>
        <v>5000</v>
      </c>
      <c r="H976" s="6">
        <f t="shared" ca="1" si="46"/>
        <v>0.08</v>
      </c>
      <c r="I976">
        <f ca="1">Orders[[#This Row],[Quantity]]*Orders[[#This Row],[Unit Price]]*(1-Orders[[#This Row],[Discount%]])</f>
        <v>9200</v>
      </c>
      <c r="J976" t="str" cm="1">
        <f t="array" aca="1" ref="J976" ca="1">INDEX(PaymentMethods[Payment Method],RANDBETWEEN(1,5))</f>
        <v>UPI</v>
      </c>
    </row>
    <row r="977" spans="1:10" x14ac:dyDescent="0.3">
      <c r="A977" t="str">
        <f t="shared" si="47"/>
        <v>O0976</v>
      </c>
      <c r="B977" s="6">
        <f ca="1">Orders[[#This Row],[Discount%]]</f>
        <v>0.11</v>
      </c>
      <c r="C977" t="str" cm="1">
        <f t="array" aca="1" ref="C977" ca="1">INDEX(Customers[Customer ID],RANDBETWEEN(1,200))</f>
        <v>C024</v>
      </c>
      <c r="D977" t="str" cm="1">
        <f t="array" aca="1" ref="D977" ca="1">INDEX(Products[Product ID],RANDBETWEEN(1,50))</f>
        <v>P021</v>
      </c>
      <c r="E977" t="str" cm="1">
        <f t="array" aca="1" ref="E977" ca="1">INDEX(Warehouses[Warehouse ID],RANDBETWEEN(1,8))</f>
        <v>W008</v>
      </c>
      <c r="F977">
        <f t="shared" ca="1" si="45"/>
        <v>5</v>
      </c>
      <c r="G977">
        <f ca="1">_xlfn.XLOOKUP(Orders[[#This Row],[Product ID]],Products[Product ID],Products[Selling Price])</f>
        <v>22000</v>
      </c>
      <c r="H977" s="6">
        <f t="shared" ca="1" si="46"/>
        <v>0.11</v>
      </c>
      <c r="I977">
        <f ca="1">Orders[[#This Row],[Quantity]]*Orders[[#This Row],[Unit Price]]*(1-Orders[[#This Row],[Discount%]])</f>
        <v>97900</v>
      </c>
      <c r="J977" t="str" cm="1">
        <f t="array" aca="1" ref="J977" ca="1">INDEX(PaymentMethods[Payment Method],RANDBETWEEN(1,5))</f>
        <v>Net Banking</v>
      </c>
    </row>
    <row r="978" spans="1:10" x14ac:dyDescent="0.3">
      <c r="A978" t="str">
        <f t="shared" si="47"/>
        <v>O0977</v>
      </c>
      <c r="B978" s="6">
        <f ca="1">Orders[[#This Row],[Discount%]]</f>
        <v>0.03</v>
      </c>
      <c r="C978" t="str" cm="1">
        <f t="array" aca="1" ref="C978" ca="1">INDEX(Customers[Customer ID],RANDBETWEEN(1,200))</f>
        <v>C067</v>
      </c>
      <c r="D978" t="str" cm="1">
        <f t="array" aca="1" ref="D978" ca="1">INDEX(Products[Product ID],RANDBETWEEN(1,50))</f>
        <v>P004</v>
      </c>
      <c r="E978" t="str" cm="1">
        <f t="array" aca="1" ref="E978" ca="1">INDEX(Warehouses[Warehouse ID],RANDBETWEEN(1,8))</f>
        <v>W008</v>
      </c>
      <c r="F978">
        <f t="shared" ca="1" si="45"/>
        <v>10</v>
      </c>
      <c r="G978">
        <f ca="1">_xlfn.XLOOKUP(Orders[[#This Row],[Product ID]],Products[Product ID],Products[Selling Price])</f>
        <v>9000</v>
      </c>
      <c r="H978" s="6">
        <f t="shared" ca="1" si="46"/>
        <v>0.03</v>
      </c>
      <c r="I978">
        <f ca="1">Orders[[#This Row],[Quantity]]*Orders[[#This Row],[Unit Price]]*(1-Orders[[#This Row],[Discount%]])</f>
        <v>87300</v>
      </c>
      <c r="J978" t="str" cm="1">
        <f t="array" aca="1" ref="J978" ca="1">INDEX(PaymentMethods[Payment Method],RANDBETWEEN(1,5))</f>
        <v>Debit Card</v>
      </c>
    </row>
    <row r="979" spans="1:10" x14ac:dyDescent="0.3">
      <c r="A979" t="str">
        <f t="shared" si="47"/>
        <v>O0978</v>
      </c>
      <c r="B979" s="6">
        <f ca="1">Orders[[#This Row],[Discount%]]</f>
        <v>0.18</v>
      </c>
      <c r="C979" t="str" cm="1">
        <f t="array" aca="1" ref="C979" ca="1">INDEX(Customers[Customer ID],RANDBETWEEN(1,200))</f>
        <v>C075</v>
      </c>
      <c r="D979" t="str" cm="1">
        <f t="array" aca="1" ref="D979" ca="1">INDEX(Products[Product ID],RANDBETWEEN(1,50))</f>
        <v>P012</v>
      </c>
      <c r="E979" t="str" cm="1">
        <f t="array" aca="1" ref="E979" ca="1">INDEX(Warehouses[Warehouse ID],RANDBETWEEN(1,8))</f>
        <v>W005</v>
      </c>
      <c r="F979">
        <f t="shared" ca="1" si="45"/>
        <v>1</v>
      </c>
      <c r="G979">
        <f ca="1">_xlfn.XLOOKUP(Orders[[#This Row],[Product ID]],Products[Product ID],Products[Selling Price])</f>
        <v>80</v>
      </c>
      <c r="H979" s="6">
        <f t="shared" ca="1" si="46"/>
        <v>0.18</v>
      </c>
      <c r="I979">
        <f ca="1">Orders[[#This Row],[Quantity]]*Orders[[#This Row],[Unit Price]]*(1-Orders[[#This Row],[Discount%]])</f>
        <v>65.600000000000009</v>
      </c>
      <c r="J979" t="str" cm="1">
        <f t="array" aca="1" ref="J979" ca="1">INDEX(PaymentMethods[Payment Method],RANDBETWEEN(1,5))</f>
        <v>UPI</v>
      </c>
    </row>
    <row r="980" spans="1:10" x14ac:dyDescent="0.3">
      <c r="A980" t="str">
        <f t="shared" si="47"/>
        <v>O0979</v>
      </c>
      <c r="B980" s="6">
        <f ca="1">Orders[[#This Row],[Discount%]]</f>
        <v>0.19</v>
      </c>
      <c r="C980" t="str" cm="1">
        <f t="array" aca="1" ref="C980" ca="1">INDEX(Customers[Customer ID],RANDBETWEEN(1,200))</f>
        <v>C185</v>
      </c>
      <c r="D980" t="str" cm="1">
        <f t="array" aca="1" ref="D980" ca="1">INDEX(Products[Product ID],RANDBETWEEN(1,50))</f>
        <v>P010</v>
      </c>
      <c r="E980" t="str" cm="1">
        <f t="array" aca="1" ref="E980" ca="1">INDEX(Warehouses[Warehouse ID],RANDBETWEEN(1,8))</f>
        <v>W006</v>
      </c>
      <c r="F980">
        <f t="shared" ca="1" si="45"/>
        <v>6</v>
      </c>
      <c r="G980">
        <f ca="1">_xlfn.XLOOKUP(Orders[[#This Row],[Product ID]],Products[Product ID],Products[Selling Price])</f>
        <v>250</v>
      </c>
      <c r="H980" s="6">
        <f t="shared" ca="1" si="46"/>
        <v>0.19</v>
      </c>
      <c r="I980">
        <f ca="1">Orders[[#This Row],[Quantity]]*Orders[[#This Row],[Unit Price]]*(1-Orders[[#This Row],[Discount%]])</f>
        <v>1215</v>
      </c>
      <c r="J980" t="str" cm="1">
        <f t="array" aca="1" ref="J980" ca="1">INDEX(PaymentMethods[Payment Method],RANDBETWEEN(1,5))</f>
        <v>UPI</v>
      </c>
    </row>
    <row r="981" spans="1:10" x14ac:dyDescent="0.3">
      <c r="A981" t="str">
        <f t="shared" si="47"/>
        <v>O0980</v>
      </c>
      <c r="B981" s="6">
        <f ca="1">Orders[[#This Row],[Discount%]]</f>
        <v>0.1</v>
      </c>
      <c r="C981" t="str" cm="1">
        <f t="array" aca="1" ref="C981" ca="1">INDEX(Customers[Customer ID],RANDBETWEEN(1,200))</f>
        <v>C179</v>
      </c>
      <c r="D981" t="str" cm="1">
        <f t="array" aca="1" ref="D981" ca="1">INDEX(Products[Product ID],RANDBETWEEN(1,50))</f>
        <v>P026</v>
      </c>
      <c r="E981" t="str" cm="1">
        <f t="array" aca="1" ref="E981" ca="1">INDEX(Warehouses[Warehouse ID],RANDBETWEEN(1,8))</f>
        <v>W003</v>
      </c>
      <c r="F981">
        <f t="shared" ca="1" si="45"/>
        <v>4</v>
      </c>
      <c r="G981">
        <f ca="1">_xlfn.XLOOKUP(Orders[[#This Row],[Product ID]],Products[Product ID],Products[Selling Price])</f>
        <v>650</v>
      </c>
      <c r="H981" s="6">
        <f t="shared" ca="1" si="46"/>
        <v>0.1</v>
      </c>
      <c r="I981">
        <f ca="1">Orders[[#This Row],[Quantity]]*Orders[[#This Row],[Unit Price]]*(1-Orders[[#This Row],[Discount%]])</f>
        <v>2340</v>
      </c>
      <c r="J981" t="str" cm="1">
        <f t="array" aca="1" ref="J981" ca="1">INDEX(PaymentMethods[Payment Method],RANDBETWEEN(1,5))</f>
        <v>Debit Card</v>
      </c>
    </row>
    <row r="982" spans="1:10" x14ac:dyDescent="0.3">
      <c r="A982" t="str">
        <f t="shared" si="47"/>
        <v>O0981</v>
      </c>
      <c r="B982" s="6">
        <f ca="1">Orders[[#This Row],[Discount%]]</f>
        <v>0.1</v>
      </c>
      <c r="C982" t="str" cm="1">
        <f t="array" aca="1" ref="C982" ca="1">INDEX(Customers[Customer ID],RANDBETWEEN(1,200))</f>
        <v>C132</v>
      </c>
      <c r="D982" t="str" cm="1">
        <f t="array" aca="1" ref="D982" ca="1">INDEX(Products[Product ID],RANDBETWEEN(1,50))</f>
        <v>P001</v>
      </c>
      <c r="E982" t="str" cm="1">
        <f t="array" aca="1" ref="E982" ca="1">INDEX(Warehouses[Warehouse ID],RANDBETWEEN(1,8))</f>
        <v>W005</v>
      </c>
      <c r="F982">
        <f t="shared" ca="1" si="45"/>
        <v>10</v>
      </c>
      <c r="G982">
        <f ca="1">_xlfn.XLOOKUP(Orders[[#This Row],[Product ID]],Products[Product ID],Products[Selling Price])</f>
        <v>42000</v>
      </c>
      <c r="H982" s="6">
        <f t="shared" ca="1" si="46"/>
        <v>0.1</v>
      </c>
      <c r="I982">
        <f ca="1">Orders[[#This Row],[Quantity]]*Orders[[#This Row],[Unit Price]]*(1-Orders[[#This Row],[Discount%]])</f>
        <v>378000</v>
      </c>
      <c r="J982" t="str" cm="1">
        <f t="array" aca="1" ref="J982" ca="1">INDEX(PaymentMethods[Payment Method],RANDBETWEEN(1,5))</f>
        <v>Debit Card</v>
      </c>
    </row>
    <row r="983" spans="1:10" x14ac:dyDescent="0.3">
      <c r="A983" t="str">
        <f t="shared" si="47"/>
        <v>O0982</v>
      </c>
      <c r="B983" s="6">
        <f ca="1">Orders[[#This Row],[Discount%]]</f>
        <v>7.0000000000000007E-2</v>
      </c>
      <c r="C983" t="str" cm="1">
        <f t="array" aca="1" ref="C983" ca="1">INDEX(Customers[Customer ID],RANDBETWEEN(1,200))</f>
        <v>C153</v>
      </c>
      <c r="D983" t="str" cm="1">
        <f t="array" aca="1" ref="D983" ca="1">INDEX(Products[Product ID],RANDBETWEEN(1,50))</f>
        <v>P040</v>
      </c>
      <c r="E983" t="str" cm="1">
        <f t="array" aca="1" ref="E983" ca="1">INDEX(Warehouses[Warehouse ID],RANDBETWEEN(1,8))</f>
        <v>W004</v>
      </c>
      <c r="F983">
        <f t="shared" ca="1" si="45"/>
        <v>8</v>
      </c>
      <c r="G983">
        <f ca="1">_xlfn.XLOOKUP(Orders[[#This Row],[Product ID]],Products[Product ID],Products[Selling Price])</f>
        <v>180</v>
      </c>
      <c r="H983" s="6">
        <f t="shared" ca="1" si="46"/>
        <v>7.0000000000000007E-2</v>
      </c>
      <c r="I983">
        <f ca="1">Orders[[#This Row],[Quantity]]*Orders[[#This Row],[Unit Price]]*(1-Orders[[#This Row],[Discount%]])</f>
        <v>1339.1999999999998</v>
      </c>
      <c r="J983" t="str" cm="1">
        <f t="array" aca="1" ref="J983" ca="1">INDEX(PaymentMethods[Payment Method],RANDBETWEEN(1,5))</f>
        <v>Cash</v>
      </c>
    </row>
    <row r="984" spans="1:10" x14ac:dyDescent="0.3">
      <c r="A984" t="str">
        <f t="shared" si="47"/>
        <v>O0983</v>
      </c>
      <c r="B984" s="6">
        <f ca="1">Orders[[#This Row],[Discount%]]</f>
        <v>0.12</v>
      </c>
      <c r="C984" t="str" cm="1">
        <f t="array" aca="1" ref="C984" ca="1">INDEX(Customers[Customer ID],RANDBETWEEN(1,200))</f>
        <v>C123</v>
      </c>
      <c r="D984" t="str" cm="1">
        <f t="array" aca="1" ref="D984" ca="1">INDEX(Products[Product ID],RANDBETWEEN(1,50))</f>
        <v>P014</v>
      </c>
      <c r="E984" t="str" cm="1">
        <f t="array" aca="1" ref="E984" ca="1">INDEX(Warehouses[Warehouse ID],RANDBETWEEN(1,8))</f>
        <v>W006</v>
      </c>
      <c r="F984">
        <f t="shared" ca="1" si="45"/>
        <v>9</v>
      </c>
      <c r="G984">
        <f ca="1">_xlfn.XLOOKUP(Orders[[#This Row],[Product ID]],Products[Product ID],Products[Selling Price])</f>
        <v>800</v>
      </c>
      <c r="H984" s="6">
        <f t="shared" ca="1" si="46"/>
        <v>0.12</v>
      </c>
      <c r="I984">
        <f ca="1">Orders[[#This Row],[Quantity]]*Orders[[#This Row],[Unit Price]]*(1-Orders[[#This Row],[Discount%]])</f>
        <v>6336</v>
      </c>
      <c r="J984" t="str" cm="1">
        <f t="array" aca="1" ref="J984" ca="1">INDEX(PaymentMethods[Payment Method],RANDBETWEEN(1,5))</f>
        <v>Debit Card</v>
      </c>
    </row>
    <row r="985" spans="1:10" x14ac:dyDescent="0.3">
      <c r="A985" t="str">
        <f t="shared" si="47"/>
        <v>O0984</v>
      </c>
      <c r="B985" s="6">
        <f ca="1">Orders[[#This Row],[Discount%]]</f>
        <v>0.08</v>
      </c>
      <c r="C985" t="str" cm="1">
        <f t="array" aca="1" ref="C985" ca="1">INDEX(Customers[Customer ID],RANDBETWEEN(1,200))</f>
        <v>C104</v>
      </c>
      <c r="D985" t="str" cm="1">
        <f t="array" aca="1" ref="D985" ca="1">INDEX(Products[Product ID],RANDBETWEEN(1,50))</f>
        <v>P035</v>
      </c>
      <c r="E985" t="str" cm="1">
        <f t="array" aca="1" ref="E985" ca="1">INDEX(Warehouses[Warehouse ID],RANDBETWEEN(1,8))</f>
        <v>W003</v>
      </c>
      <c r="F985">
        <f t="shared" ca="1" si="45"/>
        <v>10</v>
      </c>
      <c r="G985">
        <f ca="1">_xlfn.XLOOKUP(Orders[[#This Row],[Product ID]],Products[Product ID],Products[Selling Price])</f>
        <v>300</v>
      </c>
      <c r="H985" s="6">
        <f t="shared" ca="1" si="46"/>
        <v>0.08</v>
      </c>
      <c r="I985">
        <f ca="1">Orders[[#This Row],[Quantity]]*Orders[[#This Row],[Unit Price]]*(1-Orders[[#This Row],[Discount%]])</f>
        <v>2760</v>
      </c>
      <c r="J985" t="str" cm="1">
        <f t="array" aca="1" ref="J985" ca="1">INDEX(PaymentMethods[Payment Method],RANDBETWEEN(1,5))</f>
        <v>Net Banking</v>
      </c>
    </row>
    <row r="986" spans="1:10" x14ac:dyDescent="0.3">
      <c r="A986" t="str">
        <f t="shared" si="47"/>
        <v>O0985</v>
      </c>
      <c r="B986" s="6">
        <f ca="1">Orders[[#This Row],[Discount%]]</f>
        <v>0.14000000000000001</v>
      </c>
      <c r="C986" t="str" cm="1">
        <f t="array" aca="1" ref="C986" ca="1">INDEX(Customers[Customer ID],RANDBETWEEN(1,200))</f>
        <v>C172</v>
      </c>
      <c r="D986" t="str" cm="1">
        <f t="array" aca="1" ref="D986" ca="1">INDEX(Products[Product ID],RANDBETWEEN(1,50))</f>
        <v>P039</v>
      </c>
      <c r="E986" t="str" cm="1">
        <f t="array" aca="1" ref="E986" ca="1">INDEX(Warehouses[Warehouse ID],RANDBETWEEN(1,8))</f>
        <v>W001</v>
      </c>
      <c r="F986">
        <f t="shared" ca="1" si="45"/>
        <v>7</v>
      </c>
      <c r="G986">
        <f ca="1">_xlfn.XLOOKUP(Orders[[#This Row],[Product ID]],Products[Product ID],Products[Selling Price])</f>
        <v>250</v>
      </c>
      <c r="H986" s="6">
        <f t="shared" ca="1" si="46"/>
        <v>0.14000000000000001</v>
      </c>
      <c r="I986">
        <f ca="1">Orders[[#This Row],[Quantity]]*Orders[[#This Row],[Unit Price]]*(1-Orders[[#This Row],[Discount%]])</f>
        <v>1505</v>
      </c>
      <c r="J986" t="str" cm="1">
        <f t="array" aca="1" ref="J986" ca="1">INDEX(PaymentMethods[Payment Method],RANDBETWEEN(1,5))</f>
        <v>Debit Card</v>
      </c>
    </row>
    <row r="987" spans="1:10" x14ac:dyDescent="0.3">
      <c r="A987" t="str">
        <f t="shared" si="47"/>
        <v>O0986</v>
      </c>
      <c r="B987" s="6">
        <f ca="1">Orders[[#This Row],[Discount%]]</f>
        <v>0</v>
      </c>
      <c r="C987" t="str" cm="1">
        <f t="array" aca="1" ref="C987" ca="1">INDEX(Customers[Customer ID],RANDBETWEEN(1,200))</f>
        <v>C200</v>
      </c>
      <c r="D987" t="str" cm="1">
        <f t="array" aca="1" ref="D987" ca="1">INDEX(Products[Product ID],RANDBETWEEN(1,50))</f>
        <v>P046</v>
      </c>
      <c r="E987" t="str" cm="1">
        <f t="array" aca="1" ref="E987" ca="1">INDEX(Warehouses[Warehouse ID],RANDBETWEEN(1,8))</f>
        <v>W007</v>
      </c>
      <c r="F987">
        <f t="shared" ca="1" si="45"/>
        <v>1</v>
      </c>
      <c r="G987">
        <f ca="1">_xlfn.XLOOKUP(Orders[[#This Row],[Product ID]],Products[Product ID],Products[Selling Price])</f>
        <v>2500</v>
      </c>
      <c r="H987" s="6">
        <f t="shared" ca="1" si="46"/>
        <v>0</v>
      </c>
      <c r="I987">
        <f ca="1">Orders[[#This Row],[Quantity]]*Orders[[#This Row],[Unit Price]]*(1-Orders[[#This Row],[Discount%]])</f>
        <v>2500</v>
      </c>
      <c r="J987" t="str" cm="1">
        <f t="array" aca="1" ref="J987" ca="1">INDEX(PaymentMethods[Payment Method],RANDBETWEEN(1,5))</f>
        <v>Cash</v>
      </c>
    </row>
    <row r="988" spans="1:10" x14ac:dyDescent="0.3">
      <c r="A988" t="str">
        <f t="shared" si="47"/>
        <v>O0987</v>
      </c>
      <c r="B988" s="6">
        <f ca="1">Orders[[#This Row],[Discount%]]</f>
        <v>7.0000000000000007E-2</v>
      </c>
      <c r="C988" t="str" cm="1">
        <f t="array" aca="1" ref="C988" ca="1">INDEX(Customers[Customer ID],RANDBETWEEN(1,200))</f>
        <v>C131</v>
      </c>
      <c r="D988" t="str" cm="1">
        <f t="array" aca="1" ref="D988" ca="1">INDEX(Products[Product ID],RANDBETWEEN(1,50))</f>
        <v>P050</v>
      </c>
      <c r="E988" t="str" cm="1">
        <f t="array" aca="1" ref="E988" ca="1">INDEX(Warehouses[Warehouse ID],RANDBETWEEN(1,8))</f>
        <v>W008</v>
      </c>
      <c r="F988">
        <f t="shared" ca="1" si="45"/>
        <v>1</v>
      </c>
      <c r="G988">
        <f ca="1">_xlfn.XLOOKUP(Orders[[#This Row],[Product ID]],Products[Product ID],Products[Selling Price])</f>
        <v>12000</v>
      </c>
      <c r="H988" s="6">
        <f t="shared" ca="1" si="46"/>
        <v>7.0000000000000007E-2</v>
      </c>
      <c r="I988">
        <f ca="1">Orders[[#This Row],[Quantity]]*Orders[[#This Row],[Unit Price]]*(1-Orders[[#This Row],[Discount%]])</f>
        <v>11160</v>
      </c>
      <c r="J988" t="str" cm="1">
        <f t="array" aca="1" ref="J988" ca="1">INDEX(PaymentMethods[Payment Method],RANDBETWEEN(1,5))</f>
        <v>Debit Card</v>
      </c>
    </row>
    <row r="989" spans="1:10" x14ac:dyDescent="0.3">
      <c r="A989" t="str">
        <f t="shared" si="47"/>
        <v>O0988</v>
      </c>
      <c r="B989" s="6">
        <f ca="1">Orders[[#This Row],[Discount%]]</f>
        <v>0.2</v>
      </c>
      <c r="C989" t="str" cm="1">
        <f t="array" aca="1" ref="C989" ca="1">INDEX(Customers[Customer ID],RANDBETWEEN(1,200))</f>
        <v>C128</v>
      </c>
      <c r="D989" t="str" cm="1">
        <f t="array" aca="1" ref="D989" ca="1">INDEX(Products[Product ID],RANDBETWEEN(1,50))</f>
        <v>P044</v>
      </c>
      <c r="E989" t="str" cm="1">
        <f t="array" aca="1" ref="E989" ca="1">INDEX(Warehouses[Warehouse ID],RANDBETWEEN(1,8))</f>
        <v>W004</v>
      </c>
      <c r="F989">
        <f t="shared" ca="1" si="45"/>
        <v>9</v>
      </c>
      <c r="G989">
        <f ca="1">_xlfn.XLOOKUP(Orders[[#This Row],[Product ID]],Products[Product ID],Products[Selling Price])</f>
        <v>8500</v>
      </c>
      <c r="H989" s="6">
        <f t="shared" ca="1" si="46"/>
        <v>0.2</v>
      </c>
      <c r="I989">
        <f ca="1">Orders[[#This Row],[Quantity]]*Orders[[#This Row],[Unit Price]]*(1-Orders[[#This Row],[Discount%]])</f>
        <v>61200</v>
      </c>
      <c r="J989" t="str" cm="1">
        <f t="array" aca="1" ref="J989" ca="1">INDEX(PaymentMethods[Payment Method],RANDBETWEEN(1,5))</f>
        <v>Credit Card</v>
      </c>
    </row>
    <row r="990" spans="1:10" x14ac:dyDescent="0.3">
      <c r="A990" t="str">
        <f t="shared" si="47"/>
        <v>O0989</v>
      </c>
      <c r="B990" s="6">
        <f ca="1">Orders[[#This Row],[Discount%]]</f>
        <v>0.13</v>
      </c>
      <c r="C990" t="str" cm="1">
        <f t="array" aca="1" ref="C990" ca="1">INDEX(Customers[Customer ID],RANDBETWEEN(1,200))</f>
        <v>C004</v>
      </c>
      <c r="D990" t="str" cm="1">
        <f t="array" aca="1" ref="D990" ca="1">INDEX(Products[Product ID],RANDBETWEEN(1,50))</f>
        <v>P015</v>
      </c>
      <c r="E990" t="str" cm="1">
        <f t="array" aca="1" ref="E990" ca="1">INDEX(Warehouses[Warehouse ID],RANDBETWEEN(1,8))</f>
        <v>W001</v>
      </c>
      <c r="F990">
        <f t="shared" ca="1" si="45"/>
        <v>4</v>
      </c>
      <c r="G990">
        <f ca="1">_xlfn.XLOOKUP(Orders[[#This Row],[Product ID]],Products[Product ID],Products[Selling Price])</f>
        <v>1800</v>
      </c>
      <c r="H990" s="6">
        <f t="shared" ca="1" si="46"/>
        <v>0.13</v>
      </c>
      <c r="I990">
        <f ca="1">Orders[[#This Row],[Quantity]]*Orders[[#This Row],[Unit Price]]*(1-Orders[[#This Row],[Discount%]])</f>
        <v>6264</v>
      </c>
      <c r="J990" t="str" cm="1">
        <f t="array" aca="1" ref="J990" ca="1">INDEX(PaymentMethods[Payment Method],RANDBETWEEN(1,5))</f>
        <v>Credit Card</v>
      </c>
    </row>
    <row r="991" spans="1:10" x14ac:dyDescent="0.3">
      <c r="A991" t="str">
        <f t="shared" si="47"/>
        <v>O0990</v>
      </c>
      <c r="B991" s="6">
        <f ca="1">Orders[[#This Row],[Discount%]]</f>
        <v>0.14000000000000001</v>
      </c>
      <c r="C991" t="str" cm="1">
        <f t="array" aca="1" ref="C991" ca="1">INDEX(Customers[Customer ID],RANDBETWEEN(1,200))</f>
        <v>C135</v>
      </c>
      <c r="D991" t="str" cm="1">
        <f t="array" aca="1" ref="D991" ca="1">INDEX(Products[Product ID],RANDBETWEEN(1,50))</f>
        <v>P028</v>
      </c>
      <c r="E991" t="str" cm="1">
        <f t="array" aca="1" ref="E991" ca="1">INDEX(Warehouses[Warehouse ID],RANDBETWEEN(1,8))</f>
        <v>W008</v>
      </c>
      <c r="F991">
        <f t="shared" ca="1" si="45"/>
        <v>4</v>
      </c>
      <c r="G991">
        <f ca="1">_xlfn.XLOOKUP(Orders[[#This Row],[Product ID]],Products[Product ID],Products[Selling Price])</f>
        <v>16500</v>
      </c>
      <c r="H991" s="6">
        <f t="shared" ca="1" si="46"/>
        <v>0.14000000000000001</v>
      </c>
      <c r="I991">
        <f ca="1">Orders[[#This Row],[Quantity]]*Orders[[#This Row],[Unit Price]]*(1-Orders[[#This Row],[Discount%]])</f>
        <v>56760</v>
      </c>
      <c r="J991" t="str" cm="1">
        <f t="array" aca="1" ref="J991" ca="1">INDEX(PaymentMethods[Payment Method],RANDBETWEEN(1,5))</f>
        <v>Credit Card</v>
      </c>
    </row>
    <row r="992" spans="1:10" x14ac:dyDescent="0.3">
      <c r="A992" t="str">
        <f t="shared" si="47"/>
        <v>O0991</v>
      </c>
      <c r="B992" s="6">
        <f ca="1">Orders[[#This Row],[Discount%]]</f>
        <v>0.08</v>
      </c>
      <c r="C992" t="str" cm="1">
        <f t="array" aca="1" ref="C992" ca="1">INDEX(Customers[Customer ID],RANDBETWEEN(1,200))</f>
        <v>C007</v>
      </c>
      <c r="D992" t="str" cm="1">
        <f t="array" aca="1" ref="D992" ca="1">INDEX(Products[Product ID],RANDBETWEEN(1,50))</f>
        <v>P022</v>
      </c>
      <c r="E992" t="str" cm="1">
        <f t="array" aca="1" ref="E992" ca="1">INDEX(Warehouses[Warehouse ID],RANDBETWEEN(1,8))</f>
        <v>W004</v>
      </c>
      <c r="F992">
        <f t="shared" ca="1" si="45"/>
        <v>8</v>
      </c>
      <c r="G992">
        <f ca="1">_xlfn.XLOOKUP(Orders[[#This Row],[Product ID]],Products[Product ID],Products[Selling Price])</f>
        <v>5000</v>
      </c>
      <c r="H992" s="6">
        <f t="shared" ca="1" si="46"/>
        <v>0.08</v>
      </c>
      <c r="I992">
        <f ca="1">Orders[[#This Row],[Quantity]]*Orders[[#This Row],[Unit Price]]*(1-Orders[[#This Row],[Discount%]])</f>
        <v>36800</v>
      </c>
      <c r="J992" t="str" cm="1">
        <f t="array" aca="1" ref="J992" ca="1">INDEX(PaymentMethods[Payment Method],RANDBETWEEN(1,5))</f>
        <v>UPI</v>
      </c>
    </row>
    <row r="993" spans="1:10" x14ac:dyDescent="0.3">
      <c r="A993" t="str">
        <f t="shared" si="47"/>
        <v>O0992</v>
      </c>
      <c r="B993" s="6">
        <f ca="1">Orders[[#This Row],[Discount%]]</f>
        <v>0.05</v>
      </c>
      <c r="C993" t="str" cm="1">
        <f t="array" aca="1" ref="C993" ca="1">INDEX(Customers[Customer ID],RANDBETWEEN(1,200))</f>
        <v>C050</v>
      </c>
      <c r="D993" t="str" cm="1">
        <f t="array" aca="1" ref="D993" ca="1">INDEX(Products[Product ID],RANDBETWEEN(1,50))</f>
        <v>P043</v>
      </c>
      <c r="E993" t="str" cm="1">
        <f t="array" aca="1" ref="E993" ca="1">INDEX(Warehouses[Warehouse ID],RANDBETWEEN(1,8))</f>
        <v>W007</v>
      </c>
      <c r="F993">
        <f t="shared" ca="1" si="45"/>
        <v>2</v>
      </c>
      <c r="G993">
        <f ca="1">_xlfn.XLOOKUP(Orders[[#This Row],[Product ID]],Products[Product ID],Products[Selling Price])</f>
        <v>24500</v>
      </c>
      <c r="H993" s="6">
        <f t="shared" ca="1" si="46"/>
        <v>0.05</v>
      </c>
      <c r="I993">
        <f ca="1">Orders[[#This Row],[Quantity]]*Orders[[#This Row],[Unit Price]]*(1-Orders[[#This Row],[Discount%]])</f>
        <v>46550</v>
      </c>
      <c r="J993" t="str" cm="1">
        <f t="array" aca="1" ref="J993" ca="1">INDEX(PaymentMethods[Payment Method],RANDBETWEEN(1,5))</f>
        <v>Debit Card</v>
      </c>
    </row>
    <row r="994" spans="1:10" x14ac:dyDescent="0.3">
      <c r="A994" t="str">
        <f t="shared" si="47"/>
        <v>O0993</v>
      </c>
      <c r="B994" s="6">
        <f ca="1">Orders[[#This Row],[Discount%]]</f>
        <v>0.16</v>
      </c>
      <c r="C994" t="str" cm="1">
        <f t="array" aca="1" ref="C994" ca="1">INDEX(Customers[Customer ID],RANDBETWEEN(1,200))</f>
        <v>C099</v>
      </c>
      <c r="D994" t="str" cm="1">
        <f t="array" aca="1" ref="D994" ca="1">INDEX(Products[Product ID],RANDBETWEEN(1,50))</f>
        <v>P036</v>
      </c>
      <c r="E994" t="str" cm="1">
        <f t="array" aca="1" ref="E994" ca="1">INDEX(Warehouses[Warehouse ID],RANDBETWEEN(1,8))</f>
        <v>W003</v>
      </c>
      <c r="F994">
        <f t="shared" ca="1" si="45"/>
        <v>1</v>
      </c>
      <c r="G994">
        <f ca="1">_xlfn.XLOOKUP(Orders[[#This Row],[Product ID]],Products[Product ID],Products[Selling Price])</f>
        <v>450</v>
      </c>
      <c r="H994" s="6">
        <f t="shared" ca="1" si="46"/>
        <v>0.16</v>
      </c>
      <c r="I994">
        <f ca="1">Orders[[#This Row],[Quantity]]*Orders[[#This Row],[Unit Price]]*(1-Orders[[#This Row],[Discount%]])</f>
        <v>378</v>
      </c>
      <c r="J994" t="str" cm="1">
        <f t="array" aca="1" ref="J994" ca="1">INDEX(PaymentMethods[Payment Method],RANDBETWEEN(1,5))</f>
        <v>Credit Card</v>
      </c>
    </row>
    <row r="995" spans="1:10" x14ac:dyDescent="0.3">
      <c r="A995" t="str">
        <f t="shared" si="47"/>
        <v>O0994</v>
      </c>
      <c r="B995" s="6">
        <f ca="1">Orders[[#This Row],[Discount%]]</f>
        <v>0.14000000000000001</v>
      </c>
      <c r="C995" t="str" cm="1">
        <f t="array" aca="1" ref="C995" ca="1">INDEX(Customers[Customer ID],RANDBETWEEN(1,200))</f>
        <v>C010</v>
      </c>
      <c r="D995" t="str" cm="1">
        <f t="array" aca="1" ref="D995" ca="1">INDEX(Products[Product ID],RANDBETWEEN(1,50))</f>
        <v>P024</v>
      </c>
      <c r="E995" t="str" cm="1">
        <f t="array" aca="1" ref="E995" ca="1">INDEX(Warehouses[Warehouse ID],RANDBETWEEN(1,8))</f>
        <v>W006</v>
      </c>
      <c r="F995">
        <f t="shared" ca="1" si="45"/>
        <v>6</v>
      </c>
      <c r="G995">
        <f ca="1">_xlfn.XLOOKUP(Orders[[#This Row],[Product ID]],Products[Product ID],Products[Selling Price])</f>
        <v>1700</v>
      </c>
      <c r="H995" s="6">
        <f t="shared" ca="1" si="46"/>
        <v>0.14000000000000001</v>
      </c>
      <c r="I995">
        <f ca="1">Orders[[#This Row],[Quantity]]*Orders[[#This Row],[Unit Price]]*(1-Orders[[#This Row],[Discount%]])</f>
        <v>8772</v>
      </c>
      <c r="J995" t="str" cm="1">
        <f t="array" aca="1" ref="J995" ca="1">INDEX(PaymentMethods[Payment Method],RANDBETWEEN(1,5))</f>
        <v>Cash</v>
      </c>
    </row>
    <row r="996" spans="1:10" x14ac:dyDescent="0.3">
      <c r="A996" t="str">
        <f t="shared" si="47"/>
        <v>O0995</v>
      </c>
      <c r="B996" s="6">
        <f ca="1">Orders[[#This Row],[Discount%]]</f>
        <v>0.16</v>
      </c>
      <c r="C996" t="str" cm="1">
        <f t="array" aca="1" ref="C996" ca="1">INDEX(Customers[Customer ID],RANDBETWEEN(1,200))</f>
        <v>C038</v>
      </c>
      <c r="D996" t="str" cm="1">
        <f t="array" aca="1" ref="D996" ca="1">INDEX(Products[Product ID],RANDBETWEEN(1,50))</f>
        <v>P045</v>
      </c>
      <c r="E996" t="str" cm="1">
        <f t="array" aca="1" ref="E996" ca="1">INDEX(Warehouses[Warehouse ID],RANDBETWEEN(1,8))</f>
        <v>W008</v>
      </c>
      <c r="F996">
        <f t="shared" ca="1" si="45"/>
        <v>8</v>
      </c>
      <c r="G996">
        <f ca="1">_xlfn.XLOOKUP(Orders[[#This Row],[Product ID]],Products[Product ID],Products[Selling Price])</f>
        <v>1500</v>
      </c>
      <c r="H996" s="6">
        <f t="shared" ca="1" si="46"/>
        <v>0.16</v>
      </c>
      <c r="I996">
        <f ca="1">Orders[[#This Row],[Quantity]]*Orders[[#This Row],[Unit Price]]*(1-Orders[[#This Row],[Discount%]])</f>
        <v>10080</v>
      </c>
      <c r="J996" t="str" cm="1">
        <f t="array" aca="1" ref="J996" ca="1">INDEX(PaymentMethods[Payment Method],RANDBETWEEN(1,5))</f>
        <v>Cash</v>
      </c>
    </row>
    <row r="997" spans="1:10" x14ac:dyDescent="0.3">
      <c r="A997" t="str">
        <f t="shared" si="47"/>
        <v>O0996</v>
      </c>
      <c r="B997" s="6">
        <f ca="1">Orders[[#This Row],[Discount%]]</f>
        <v>0.18</v>
      </c>
      <c r="C997" t="str" cm="1">
        <f t="array" aca="1" ref="C997" ca="1">INDEX(Customers[Customer ID],RANDBETWEEN(1,200))</f>
        <v>C024</v>
      </c>
      <c r="D997" t="str" cm="1">
        <f t="array" aca="1" ref="D997" ca="1">INDEX(Products[Product ID],RANDBETWEEN(1,50))</f>
        <v>P013</v>
      </c>
      <c r="E997" t="str" cm="1">
        <f t="array" aca="1" ref="E997" ca="1">INDEX(Warehouses[Warehouse ID],RANDBETWEEN(1,8))</f>
        <v>W002</v>
      </c>
      <c r="F997">
        <f t="shared" ca="1" si="45"/>
        <v>8</v>
      </c>
      <c r="G997">
        <f ca="1">_xlfn.XLOOKUP(Orders[[#This Row],[Product ID]],Products[Product ID],Products[Selling Price])</f>
        <v>25</v>
      </c>
      <c r="H997" s="6">
        <f t="shared" ca="1" si="46"/>
        <v>0.18</v>
      </c>
      <c r="I997">
        <f ca="1">Orders[[#This Row],[Quantity]]*Orders[[#This Row],[Unit Price]]*(1-Orders[[#This Row],[Discount%]])</f>
        <v>164</v>
      </c>
      <c r="J997" t="str" cm="1">
        <f t="array" aca="1" ref="J997" ca="1">INDEX(PaymentMethods[Payment Method],RANDBETWEEN(1,5))</f>
        <v>Debit Card</v>
      </c>
    </row>
    <row r="998" spans="1:10" x14ac:dyDescent="0.3">
      <c r="A998" t="str">
        <f t="shared" si="47"/>
        <v>O0997</v>
      </c>
      <c r="B998" s="6">
        <f ca="1">Orders[[#This Row],[Discount%]]</f>
        <v>0.02</v>
      </c>
      <c r="C998" t="str" cm="1">
        <f t="array" aca="1" ref="C998" ca="1">INDEX(Customers[Customer ID],RANDBETWEEN(1,200))</f>
        <v>C143</v>
      </c>
      <c r="D998" t="str" cm="1">
        <f t="array" aca="1" ref="D998" ca="1">INDEX(Products[Product ID],RANDBETWEEN(1,50))</f>
        <v>P041</v>
      </c>
      <c r="E998" t="str" cm="1">
        <f t="array" aca="1" ref="E998" ca="1">INDEX(Warehouses[Warehouse ID],RANDBETWEEN(1,8))</f>
        <v>W005</v>
      </c>
      <c r="F998">
        <f t="shared" ca="1" si="45"/>
        <v>6</v>
      </c>
      <c r="G998">
        <f ca="1">_xlfn.XLOOKUP(Orders[[#This Row],[Product ID]],Products[Product ID],Products[Selling Price])</f>
        <v>36000</v>
      </c>
      <c r="H998" s="6">
        <f t="shared" ca="1" si="46"/>
        <v>0.02</v>
      </c>
      <c r="I998">
        <f ca="1">Orders[[#This Row],[Quantity]]*Orders[[#This Row],[Unit Price]]*(1-Orders[[#This Row],[Discount%]])</f>
        <v>211680</v>
      </c>
      <c r="J998" t="str" cm="1">
        <f t="array" aca="1" ref="J998" ca="1">INDEX(PaymentMethods[Payment Method],RANDBETWEEN(1,5))</f>
        <v>Cash</v>
      </c>
    </row>
    <row r="999" spans="1:10" x14ac:dyDescent="0.3">
      <c r="A999" t="str">
        <f t="shared" si="47"/>
        <v>O0998</v>
      </c>
      <c r="B999" s="6">
        <f ca="1">Orders[[#This Row],[Discount%]]</f>
        <v>0</v>
      </c>
      <c r="C999" t="str" cm="1">
        <f t="array" aca="1" ref="C999" ca="1">INDEX(Customers[Customer ID],RANDBETWEEN(1,200))</f>
        <v>C157</v>
      </c>
      <c r="D999" t="str" cm="1">
        <f t="array" aca="1" ref="D999" ca="1">INDEX(Products[Product ID],RANDBETWEEN(1,50))</f>
        <v>P002</v>
      </c>
      <c r="E999" t="str" cm="1">
        <f t="array" aca="1" ref="E999" ca="1">INDEX(Warehouses[Warehouse ID],RANDBETWEEN(1,8))</f>
        <v>W007</v>
      </c>
      <c r="F999">
        <f t="shared" ca="1" si="45"/>
        <v>4</v>
      </c>
      <c r="G999">
        <f ca="1">_xlfn.XLOOKUP(Orders[[#This Row],[Product ID]],Products[Product ID],Products[Selling Price])</f>
        <v>550</v>
      </c>
      <c r="H999" s="6">
        <f t="shared" ca="1" si="46"/>
        <v>0</v>
      </c>
      <c r="I999">
        <f ca="1">Orders[[#This Row],[Quantity]]*Orders[[#This Row],[Unit Price]]*(1-Orders[[#This Row],[Discount%]])</f>
        <v>2200</v>
      </c>
      <c r="J999" t="str" cm="1">
        <f t="array" aca="1" ref="J999" ca="1">INDEX(PaymentMethods[Payment Method],RANDBETWEEN(1,5))</f>
        <v>Cash</v>
      </c>
    </row>
    <row r="1000" spans="1:10" x14ac:dyDescent="0.3">
      <c r="A1000" t="str">
        <f t="shared" si="47"/>
        <v>O0999</v>
      </c>
      <c r="B1000" s="6">
        <f ca="1">Orders[[#This Row],[Discount%]]</f>
        <v>0.15</v>
      </c>
      <c r="C1000" t="str" cm="1">
        <f t="array" aca="1" ref="C1000" ca="1">INDEX(Customers[Customer ID],RANDBETWEEN(1,200))</f>
        <v>C185</v>
      </c>
      <c r="D1000" t="str" cm="1">
        <f t="array" aca="1" ref="D1000" ca="1">INDEX(Products[Product ID],RANDBETWEEN(1,50))</f>
        <v>P004</v>
      </c>
      <c r="E1000" t="str" cm="1">
        <f t="array" aca="1" ref="E1000" ca="1">INDEX(Warehouses[Warehouse ID],RANDBETWEEN(1,8))</f>
        <v>W001</v>
      </c>
      <c r="F1000">
        <f t="shared" ca="1" si="45"/>
        <v>4</v>
      </c>
      <c r="G1000">
        <f ca="1">_xlfn.XLOOKUP(Orders[[#This Row],[Product ID]],Products[Product ID],Products[Selling Price])</f>
        <v>9000</v>
      </c>
      <c r="H1000" s="6">
        <f t="shared" ca="1" si="46"/>
        <v>0.15</v>
      </c>
      <c r="I1000">
        <f ca="1">Orders[[#This Row],[Quantity]]*Orders[[#This Row],[Unit Price]]*(1-Orders[[#This Row],[Discount%]])</f>
        <v>30600</v>
      </c>
      <c r="J1000" t="str" cm="1">
        <f t="array" aca="1" ref="J1000" ca="1">INDEX(PaymentMethods[Payment Method],RANDBETWEEN(1,5))</f>
        <v>UPI</v>
      </c>
    </row>
    <row r="1001" spans="1:10" x14ac:dyDescent="0.3">
      <c r="A1001" t="str">
        <f t="shared" si="47"/>
        <v>O1000</v>
      </c>
      <c r="B1001" s="6">
        <f ca="1">Orders[[#This Row],[Discount%]]</f>
        <v>0.16</v>
      </c>
      <c r="C1001" t="str" cm="1">
        <f t="array" aca="1" ref="C1001" ca="1">INDEX(Customers[Customer ID],RANDBETWEEN(1,200))</f>
        <v>C099</v>
      </c>
      <c r="D1001" t="str" cm="1">
        <f t="array" aca="1" ref="D1001" ca="1">INDEX(Products[Product ID],RANDBETWEEN(1,50))</f>
        <v>P006</v>
      </c>
      <c r="E1001" t="str" cm="1">
        <f t="array" aca="1" ref="E1001" ca="1">INDEX(Warehouses[Warehouse ID],RANDBETWEEN(1,8))</f>
        <v>W005</v>
      </c>
      <c r="F1001">
        <f t="shared" ca="1" si="45"/>
        <v>6</v>
      </c>
      <c r="G1001">
        <f ca="1">_xlfn.XLOOKUP(Orders[[#This Row],[Product ID]],Products[Product ID],Products[Selling Price])</f>
        <v>3500</v>
      </c>
      <c r="H1001" s="6">
        <f t="shared" ca="1" si="46"/>
        <v>0.16</v>
      </c>
      <c r="I1001">
        <f ca="1">Orders[[#This Row],[Quantity]]*Orders[[#This Row],[Unit Price]]*(1-Orders[[#This Row],[Discount%]])</f>
        <v>17640</v>
      </c>
      <c r="J1001" t="str" cm="1">
        <f t="array" aca="1" ref="J1001" ca="1">INDEX(PaymentMethods[Payment Method],RANDBETWEEN(1,5))</f>
        <v>Debit Card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D2A7-1286-4676-A957-E539021E3562}">
  <dimension ref="A1:A6"/>
  <sheetViews>
    <sheetView workbookViewId="0">
      <selection activeCell="A2" sqref="A2:A6"/>
    </sheetView>
  </sheetViews>
  <sheetFormatPr defaultRowHeight="14.4" x14ac:dyDescent="0.3"/>
  <cols>
    <col min="1" max="1" width="16.77734375" customWidth="1"/>
  </cols>
  <sheetData>
    <row r="1" spans="1:1" x14ac:dyDescent="0.3">
      <c r="A1" s="7" t="s">
        <v>460</v>
      </c>
    </row>
    <row r="2" spans="1:1" x14ac:dyDescent="0.3">
      <c r="A2" t="s">
        <v>462</v>
      </c>
    </row>
    <row r="3" spans="1:1" x14ac:dyDescent="0.3">
      <c r="A3" t="s">
        <v>463</v>
      </c>
    </row>
    <row r="4" spans="1:1" x14ac:dyDescent="0.3">
      <c r="A4" t="s">
        <v>464</v>
      </c>
    </row>
    <row r="5" spans="1:1" x14ac:dyDescent="0.3">
      <c r="A5" t="s">
        <v>465</v>
      </c>
    </row>
    <row r="6" spans="1:1" x14ac:dyDescent="0.3">
      <c r="A6" t="s">
        <v>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Products</vt:lpstr>
      <vt:lpstr>Customers</vt:lpstr>
      <vt:lpstr>FirstNames</vt:lpstr>
      <vt:lpstr>LastNames</vt:lpstr>
      <vt:lpstr>Cities</vt:lpstr>
      <vt:lpstr>Supliers</vt:lpstr>
      <vt:lpstr>Warehouses</vt:lpstr>
      <vt:lpstr>Orders</vt:lpstr>
      <vt:lpstr>PaymentMethods</vt:lpstr>
      <vt:lpstr>PaymentsMethods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Fastyna A</dc:creator>
  <cp:lastModifiedBy>Swetha Fastyna A</cp:lastModifiedBy>
  <dcterms:created xsi:type="dcterms:W3CDTF">2026-07-01T16:42:00Z</dcterms:created>
  <dcterms:modified xsi:type="dcterms:W3CDTF">2026-07-06T20:29:10Z</dcterms:modified>
</cp:coreProperties>
</file>